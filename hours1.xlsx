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omrik\Documents\Mom hours project\"/>
    </mc:Choice>
  </mc:AlternateContent>
  <xr:revisionPtr revIDLastSave="0" documentId="13_ncr:1_{FA27EAE9-47AE-4E9D-AD3F-84C99BABD2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utput" sheetId="2" r:id="rId1"/>
    <sheet name="גיליון1" sheetId="1" r:id="rId2"/>
  </sheets>
  <definedNames>
    <definedName name="ExternalData_1" localSheetId="0" hidden="1">output!$A$1:$G$178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 a="1"/>
  <c r="K30" i="2" s="1"/>
  <c r="K32" i="2" l="1"/>
  <c r="K31" i="2"/>
  <c r="K11" i="2"/>
  <c r="K28" i="2"/>
  <c r="K29" i="2"/>
  <c r="K23" i="2"/>
  <c r="K19" i="2"/>
  <c r="K15" i="2"/>
  <c r="J7" i="2"/>
  <c r="K7" i="2" s="1"/>
  <c r="K8" i="2"/>
  <c r="K12" i="2"/>
  <c r="K16" i="2"/>
  <c r="K20" i="2"/>
  <c r="K24" i="2"/>
  <c r="K9" i="2"/>
  <c r="K13" i="2"/>
  <c r="K17" i="2"/>
  <c r="K21" i="2"/>
  <c r="K25" i="2"/>
  <c r="K10" i="2"/>
  <c r="K14" i="2"/>
  <c r="K18" i="2"/>
  <c r="K22" i="2"/>
  <c r="K26" i="2"/>
  <c r="K2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7382C-17F8-435C-BFB7-F8BF8EB90660}" keepAlive="1" name="שאילתה - output" description="‏‏חיבור לשאילתה 'output' בחוברת העבודה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<sst xmlns="http://schemas.openxmlformats.org/spreadsheetml/2006/main" count="1098" uniqueCount="326">
  <si>
    <t>תאריך</t>
  </si>
  <si>
    <t>שם לקוח</t>
  </si>
  <si>
    <t>שם תיק</t>
  </si>
  <si>
    <t>פירוט</t>
  </si>
  <si>
    <t>עובד</t>
  </si>
  <si>
    <t>שעות</t>
  </si>
  <si>
    <t>הוצאות</t>
  </si>
  <si>
    <t>גלית</t>
  </si>
  <si>
    <t/>
  </si>
  <si>
    <t>דלק</t>
  </si>
  <si>
    <t>מנורה</t>
  </si>
  <si>
    <t>אושירה</t>
  </si>
  <si>
    <t>אגירה</t>
  </si>
  <si>
    <t>נייר חדרה</t>
  </si>
  <si>
    <t>ש.ב.ה</t>
  </si>
  <si>
    <t>כללי</t>
  </si>
  <si>
    <t>רמדור</t>
  </si>
  <si>
    <t>שוטף</t>
  </si>
  <si>
    <t>רונן כהן</t>
  </si>
  <si>
    <t>סיגת</t>
  </si>
  <si>
    <t>יואל רונן</t>
  </si>
  <si>
    <t>אופקים</t>
  </si>
  <si>
    <t>בוחבוט</t>
  </si>
  <si>
    <t>אלון קפלן</t>
  </si>
  <si>
    <t>הקניית בעלות</t>
  </si>
  <si>
    <t>שמעון הצדיק</t>
  </si>
  <si>
    <t>המעיין</t>
  </si>
  <si>
    <t>לובל</t>
  </si>
  <si>
    <t>מתחם השעון</t>
  </si>
  <si>
    <t>מפעלי נשק</t>
  </si>
  <si>
    <t>חלקה 26</t>
  </si>
  <si>
    <t>פרץ חיות</t>
  </si>
  <si>
    <t>מוצא</t>
  </si>
  <si>
    <t>טייבר 5</t>
  </si>
  <si>
    <t>י.ל. פרץ</t>
  </si>
  <si>
    <t>ש.ב.א</t>
  </si>
  <si>
    <t>יצחק שדה</t>
  </si>
  <si>
    <t>משרד</t>
  </si>
  <si>
    <t>כפיר פרקש</t>
  </si>
  <si>
    <t>שדרות רגר</t>
  </si>
  <si>
    <t>עקיבא איגר</t>
  </si>
  <si>
    <t>מוריה 32</t>
  </si>
  <si>
    <t>גבעת שמואל</t>
  </si>
  <si>
    <t>מכתב התראה</t>
  </si>
  <si>
    <t>רישום זכויות</t>
  </si>
  <si>
    <t>חלקה 17</t>
  </si>
  <si>
    <t>אסתי וייץ</t>
  </si>
  <si>
    <t>הארכת חוזה</t>
  </si>
  <si>
    <t>יאיר לוי</t>
  </si>
  <si>
    <t>טרלייט</t>
  </si>
  <si>
    <t>כפר מסריק</t>
  </si>
  <si>
    <t>תביעות רמ"י</t>
  </si>
  <si>
    <t>ג'י סיטי</t>
  </si>
  <si>
    <t>אמיתי אריכא</t>
  </si>
  <si>
    <t>מכירת נכס</t>
  </si>
  <si>
    <t>שמאות</t>
  </si>
  <si>
    <t>רכישת נכס</t>
  </si>
  <si>
    <t>בדיקת תיק בנין</t>
  </si>
  <si>
    <t>הקנית בעלות</t>
  </si>
  <si>
    <t>תזכורת לרמ"י</t>
  </si>
  <si>
    <t>משרד כללי</t>
  </si>
  <si>
    <t>היטל השבחה</t>
  </si>
  <si>
    <t>קומבינציה המעיין</t>
  </si>
  <si>
    <t>מרגוזה</t>
  </si>
  <si>
    <t>אודי שגב</t>
  </si>
  <si>
    <t>רמלה</t>
  </si>
  <si>
    <t>קיי פאוור</t>
  </si>
  <si>
    <t>כפר יאסיף</t>
  </si>
  <si>
    <t>הכנת מסמכים לטאבו</t>
  </si>
  <si>
    <t>קלנטרוף רפי</t>
  </si>
  <si>
    <t>חובבי ציון</t>
  </si>
  <si>
    <t>שיחה בעניין ת.ד. הנדסה</t>
  </si>
  <si>
    <t>רמת השרון</t>
  </si>
  <si>
    <t>השלמת מסמכים לטאבו</t>
  </si>
  <si>
    <t>הסכם מכר</t>
  </si>
  <si>
    <t>מעלה מעלות</t>
  </si>
  <si>
    <t>אמיר מלכין</t>
  </si>
  <si>
    <t>נווה ים</t>
  </si>
  <si>
    <t>01.06.2025</t>
  </si>
  <si>
    <t>מיכאלאנג'לו</t>
  </si>
  <si>
    <t>הסכם שכירות</t>
  </si>
  <si>
    <t>3.6.2025</t>
  </si>
  <si>
    <t>טיפול במסמכים של בנק לאומי</t>
  </si>
  <si>
    <t>ש.ב.א.</t>
  </si>
  <si>
    <t>תביעות רמי</t>
  </si>
  <si>
    <t>הערות לשמאות + הערות למדידה</t>
  </si>
  <si>
    <t>טיפול בהסכם לקראת חתימה</t>
  </si>
  <si>
    <t>קק״ל 17</t>
  </si>
  <si>
    <t>שיחה שמאי לעניין זכויות נוספות ותיקון תחשיב</t>
  </si>
  <si>
    <t>תיקונים לטיוטא</t>
  </si>
  <si>
    <t>ערן בלצינסקי</t>
  </si>
  <si>
    <t>מכתבים בעניין הפרת חוזה</t>
  </si>
  <si>
    <t>ת. ד. הנדסה</t>
  </si>
  <si>
    <t>ישיבה פנימית</t>
  </si>
  <si>
    <t>4.6.2025</t>
  </si>
  <si>
    <t>בית נעם</t>
  </si>
  <si>
    <t>רמי דרום לענין הקצאת קרקע</t>
  </si>
  <si>
    <t>אקרשטיין</t>
  </si>
  <si>
    <t>הרשאת שימוש</t>
  </si>
  <si>
    <t>רמי דרום פגישה שאדיה ולירן</t>
  </si>
  <si>
    <t>פגישה מורן רמי דרום</t>
  </si>
  <si>
    <t>מצפה רמון</t>
  </si>
  <si>
    <t>רמי דרום לעניין קבלת איגרת על שם דלק נכסים</t>
  </si>
  <si>
    <t>רמי דרום לצורך העברת זכויות</t>
  </si>
  <si>
    <t>בן שמן</t>
  </si>
  <si>
    <t>ישיבה פנימית הסכם שותפות</t>
  </si>
  <si>
    <t>גוהר</t>
  </si>
  <si>
    <t>אנילביץ</t>
  </si>
  <si>
    <t>תתחיל אייל לערעור</t>
  </si>
  <si>
    <t>שיחה אפרת ממאיר מזרחי</t>
  </si>
  <si>
    <t>תיקון טיוטת הסכם + נספחים</t>
  </si>
  <si>
    <t>5.6.2025</t>
  </si>
  <si>
    <t>פגישה נירית</t>
  </si>
  <si>
    <t>שיחת ועידה שמאי</t>
  </si>
  <si>
    <t>שיחת ועידה זום גלעד</t>
  </si>
  <si>
    <t>עומר</t>
  </si>
  <si>
    <t>מכתב לראש המועצה</t>
  </si>
  <si>
    <t>בקשה לעיריית קריית ביאליק</t>
  </si>
  <si>
    <t>טיפול ברמ"י</t>
  </si>
  <si>
    <t>מכתב לטאבו</t>
  </si>
  <si>
    <t>שיחה ברנס</t>
  </si>
  <si>
    <t>מסמייה</t>
  </si>
  <si>
    <t>7.6.2025</t>
  </si>
  <si>
    <t>ישיבה פנימית בעניין שמאות ותיקונים לשומה</t>
  </si>
  <si>
    <t>כתב הוראות לנאמן</t>
  </si>
  <si>
    <t>8.6.2025</t>
  </si>
  <si>
    <t>נקודות לתגובה לערעור</t>
  </si>
  <si>
    <t>קריאת ערר בהתאם להחלטה ותגובה לועדת הערר</t>
  </si>
  <si>
    <t>קק"ל 17</t>
  </si>
  <si>
    <t>שוטף בענין זכויות נוספות</t>
  </si>
  <si>
    <t>טיוטות הסכם, אופציות שיחות והכנה לחתימה</t>
  </si>
  <si>
    <t>טיוטא סופית להסכם + שיחות בר</t>
  </si>
  <si>
    <t>ינושבסקי</t>
  </si>
  <si>
    <t>אבן גבירול</t>
  </si>
  <si>
    <t>שיחה אלינור ודב בענין מסים לתוספת להסכם</t>
  </si>
  <si>
    <t>קרית ביאליק</t>
  </si>
  <si>
    <t>התייחסות לשמאות מתוקנת</t>
  </si>
  <si>
    <t>9.6.2025</t>
  </si>
  <si>
    <t>פגישה ברמ"י חיפה</t>
  </si>
  <si>
    <t>פגישה במשרד ובדיקה לעניין מיסים</t>
  </si>
  <si>
    <t>ירוחם</t>
  </si>
  <si>
    <t>בדיקת מסמכים שהתקבלו</t>
  </si>
  <si>
    <t>אלבה</t>
  </si>
  <si>
    <t>שיחות מיסוי מקרקעין לעניין שמאות</t>
  </si>
  <si>
    <t>התנהלות לעניין הסכם</t>
  </si>
  <si>
    <t>כתב תשובה לערעור מנהלי</t>
  </si>
  <si>
    <t>טיפול בערר</t>
  </si>
  <si>
    <t>הגשת מסמכים לרישום זכויות</t>
  </si>
  <si>
    <t>הכנת מסמכים להסכם</t>
  </si>
  <si>
    <t>תוספת להסכם</t>
  </si>
  <si>
    <t>10.6.2025</t>
  </si>
  <si>
    <t>תביעה הום סנטר</t>
  </si>
  <si>
    <t>בדיקות לעניין שמאות מס רכישה</t>
  </si>
  <si>
    <t>שיחה שאדיה</t>
  </si>
  <si>
    <t>עפולה</t>
  </si>
  <si>
    <t>הסכמה להעברה כפוף למשכנתא</t>
  </si>
  <si>
    <t>תיקונים לכתב תשובה לערעור מנהלי</t>
  </si>
  <si>
    <t>(שיחה ביאטריס) טיפול בהצמדת מקום חניית נכה</t>
  </si>
  <si>
    <t>בדיקת תיק חברה</t>
  </si>
  <si>
    <t>בקשה לארכה</t>
  </si>
  <si>
    <t>שדרות המגינים</t>
  </si>
  <si>
    <t>הזמנה להציע הצעות</t>
  </si>
  <si>
    <t>11.6.2025</t>
  </si>
  <si>
    <t>פשט הצפה בדיקות</t>
  </si>
  <si>
    <t>דן זמיר</t>
  </si>
  <si>
    <t>פגישה במשרד בעניין בחירת דירות</t>
  </si>
  <si>
    <t>טיפול בהעברת מניות</t>
  </si>
  <si>
    <t>פנייה לרשות המיסים</t>
  </si>
  <si>
    <t>שיחה סיגלית לעניין שטחים תפוסים</t>
  </si>
  <si>
    <t>בדיקת ייפויי כוח</t>
  </si>
  <si>
    <t>מפגש חירייה</t>
  </si>
  <si>
    <t>יפוי כוח לרמ"י ושיחה חני</t>
  </si>
  <si>
    <t>הכנת מסמכים לחתימה</t>
  </si>
  <si>
    <t>רוחמה 24</t>
  </si>
  <si>
    <t>הסכם פשרה</t>
  </si>
  <si>
    <t>עיון במסמכים משיכון ובינוי</t>
  </si>
  <si>
    <t>חידוש חכירה</t>
  </si>
  <si>
    <t>הגשת מסמכים לטאבו</t>
  </si>
  <si>
    <t>12.6.2025</t>
  </si>
  <si>
    <t>חתימת הסכם</t>
  </si>
  <si>
    <t>מכרז ערבה</t>
  </si>
  <si>
    <t>שיחה</t>
  </si>
  <si>
    <t>שיחת ועידה</t>
  </si>
  <si>
    <t>נווה אילן</t>
  </si>
  <si>
    <t>ארכה להשלמת בנייה</t>
  </si>
  <si>
    <t>טיפול בשומת מס רכישה</t>
  </si>
  <si>
    <t>מסמכים לרמ"י להעברת זכויות</t>
  </si>
  <si>
    <t>מסמכים לבנק לצורך קבלת הסכמה לרישום זכויות</t>
  </si>
  <si>
    <t>טיפול ושיחה בפטור מהיתר</t>
  </si>
  <si>
    <t>מסמכים להקמת שותפות ישיבה פנימית</t>
  </si>
  <si>
    <t>בקשה להערת מועד</t>
  </si>
  <si>
    <t>מסמכים למשרד הכלכלה</t>
  </si>
  <si>
    <t>15.6.2025</t>
  </si>
  <si>
    <t>לוחמי הגטאות</t>
  </si>
  <si>
    <t>טיוטת הסכם + עדכון מאסטר קיבוצים</t>
  </si>
  <si>
    <t>בדיקת מסמכים מהתיק לרישום משכנתא</t>
  </si>
  <si>
    <t>16.6.2025</t>
  </si>
  <si>
    <t>פרקש כפיר</t>
  </si>
  <si>
    <t>תב"ע נתיבות</t>
  </si>
  <si>
    <t>שיחת ועידה כפיר</t>
  </si>
  <si>
    <t>התכתבות בענין מס רכישה</t>
  </si>
  <si>
    <t>ערן בלצ'ינסקי</t>
  </si>
  <si>
    <t>תביעת פינוי</t>
  </si>
  <si>
    <t>הערות לכתב תביעה</t>
  </si>
  <si>
    <t>שיחת ועידה בענין הסדרת בעלויות</t>
  </si>
  <si>
    <t>מכתב בענין רישום משכנתא</t>
  </si>
  <si>
    <t>מכתב נלווה לדיווח למסמ"ק</t>
  </si>
  <si>
    <t>עמי בוטיק</t>
  </si>
  <si>
    <t>מסמכים למימוש אופציה והסבה</t>
  </si>
  <si>
    <t>17.6.2025</t>
  </si>
  <si>
    <t>רן הר צבי</t>
  </si>
  <si>
    <t>שיחה לעניין תשלומים</t>
  </si>
  <si>
    <t>מסמכים לרישום זכויות + הכנת תיק לטאבו</t>
  </si>
  <si>
    <t>מיכאלנגלו</t>
  </si>
  <si>
    <t>הכנה לרישום זכויות</t>
  </si>
  <si>
    <t>התייחסות להערכת שווי</t>
  </si>
  <si>
    <t>מכתב לראש העיר</t>
  </si>
  <si>
    <t>נתיבות</t>
  </si>
  <si>
    <t>קריאת שמאויות</t>
  </si>
  <si>
    <t>18.6.2025</t>
  </si>
  <si>
    <t>עברון</t>
  </si>
  <si>
    <t>הכנה לישיבת דירקטוריות וקריאת הסכמים</t>
  </si>
  <si>
    <t>כפר סבא</t>
  </si>
  <si>
    <t>הגשת תיק לטאבו</t>
  </si>
  <si>
    <t>הר בלאן</t>
  </si>
  <si>
    <t>פרוטוקולים למכירת מניות</t>
  </si>
  <si>
    <t>כתב ערר</t>
  </si>
  <si>
    <t>טיפול במימוש אופציה</t>
  </si>
  <si>
    <t>19.6.2025</t>
  </si>
  <si>
    <t>שיחה עודד ורוניה לעניין מסירות</t>
  </si>
  <si>
    <t>חולון</t>
  </si>
  <si>
    <t>טיפול באישור עירייה לטאבו</t>
  </si>
  <si>
    <t>הסכם מכירת מניות</t>
  </si>
  <si>
    <t>מכירת בית</t>
  </si>
  <si>
    <t>נספח לכתב התחייבות בנק</t>
  </si>
  <si>
    <t>היטלים</t>
  </si>
  <si>
    <t>בדיקת חוקי עזר להיטלי פיתוח</t>
  </si>
  <si>
    <t>העברות זכויות</t>
  </si>
  <si>
    <t>מכתב לעמי בוטיק</t>
  </si>
  <si>
    <t>מגרש 50</t>
  </si>
  <si>
    <t>מכתב תזכורת לרמ"י</t>
  </si>
  <si>
    <t>כפר יסאיף</t>
  </si>
  <si>
    <t>הכנת מסמכים להעברת זכויות</t>
  </si>
  <si>
    <t>טבריה</t>
  </si>
  <si>
    <t>מסמכים לויתור על זכות סירוב</t>
  </si>
  <si>
    <t>היערכות למסירה</t>
  </si>
  <si>
    <t>תיקונים לכתב ערר</t>
  </si>
  <si>
    <t>רשות הניקוז התכתבות ישראל</t>
  </si>
  <si>
    <t>22.6.2025</t>
  </si>
  <si>
    <t>שיחה בעניין העברת מניות</t>
  </si>
  <si>
    <t>טיפול במימוש זכויות</t>
  </si>
  <si>
    <t>בדיקת סטטוס תכנית ושיחה אבישי</t>
  </si>
  <si>
    <t>מכתב לרמ"י</t>
  </si>
  <si>
    <t>בדיקת שטחים לשמאות פרחי חצב ושיחה דרור</t>
  </si>
  <si>
    <t>הסבת ייפוי כוח</t>
  </si>
  <si>
    <t>העברת זכויות</t>
  </si>
  <si>
    <t>בדיקת מסמכי העברת זכויות</t>
  </si>
  <si>
    <t>צפת</t>
  </si>
  <si>
    <t>טיפול באישור עירייה</t>
  </si>
  <si>
    <t>23.06.2025</t>
  </si>
  <si>
    <t>שומת מס רכישה וטיוטת השגה</t>
  </si>
  <si>
    <t>ישיבה פנימית</t>
  </si>
  <si>
    <t>בדיקת הסכמות קודמות והסכמי פשרה</t>
  </si>
  <si>
    <t>מתווה עסקה ובדיקה לענין מיסוי העברת מניות</t>
  </si>
  <si>
    <t>שכירות</t>
  </si>
  <si>
    <t>אישור לשוכר שאינו דובר עברית</t>
  </si>
  <si>
    <t>תיקון דיווח למסמ"ק</t>
  </si>
  <si>
    <t>הערכות למסירה מסמכים להעברת זכויות</t>
  </si>
  <si>
    <t>קריאת מסמכים שהתקבלו מניב וסיכום</t>
  </si>
  <si>
    <t>24.06.2025</t>
  </si>
  <si>
    <t>שיחה פנימית בענין הסכם מיקוד</t>
  </si>
  <si>
    <t>בקשה לפטור מהגשת שומה נגידת</t>
  </si>
  <si>
    <t>כתב התחייבות ויתור פיבקו</t>
  </si>
  <si>
    <t>פרוטוקול ומסמכים</t>
  </si>
  <si>
    <t>שיחת ועידה + מסמכים שהועברו מניב ותאירכון</t>
  </si>
  <si>
    <t>טיוטת השגה</t>
  </si>
  <si>
    <t>סריקת מסמכי תיק רמ"י</t>
  </si>
  <si>
    <t>מסמכים לרישום בטאבו</t>
  </si>
  <si>
    <t>25.06.2025</t>
  </si>
  <si>
    <t>שיחה עיריית חדרה</t>
  </si>
  <si>
    <t>שיחות בענין מכירת מניות אמירה</t>
  </si>
  <si>
    <t>תב"ע</t>
  </si>
  <si>
    <t>התייחסות למסמך כפיר לתמ"ל</t>
  </si>
  <si>
    <t>מסמכי העברת זכויות והכנת מסמכים להגשה (ישיבה פנימית)</t>
  </si>
  <si>
    <t>נהריה</t>
  </si>
  <si>
    <t>תוספת להסכם שכירות קימברלי</t>
  </si>
  <si>
    <t>הערכות למסירה</t>
  </si>
  <si>
    <t>תביעות</t>
  </si>
  <si>
    <t>בקשה להארכת מועד להגשת כתב הגנה</t>
  </si>
  <si>
    <t>26.06.2025</t>
  </si>
  <si>
    <t>גוש עציון</t>
  </si>
  <si>
    <t>התייחסות למסמך כפיר לתמ"ל (ישיבה רונן)</t>
  </si>
  <si>
    <t>תיקונים לטיוטת השגה</t>
  </si>
  <si>
    <t>שיחת זום + תיקונים להסכם</t>
  </si>
  <si>
    <t>שיחת זום</t>
  </si>
  <si>
    <t>זום בענין רישום בית משותף</t>
  </si>
  <si>
    <t>29.6.2025</t>
  </si>
  <si>
    <t>קלנטרוף אפרים</t>
  </si>
  <si>
    <t>חזי נופאבר</t>
  </si>
  <si>
    <t>טיוטת הסכם מכר</t>
  </si>
  <si>
    <t>מסמכים נוספים לבנק לאומי</t>
  </si>
  <si>
    <t>אלי קן דרור</t>
  </si>
  <si>
    <t>יפוי כוח ומסמכים שהתקבלו</t>
  </si>
  <si>
    <t>בקשה למתן ארכה</t>
  </si>
  <si>
    <t>תיקונים להסכם</t>
  </si>
  <si>
    <t>מסמכים לטל</t>
  </si>
  <si>
    <t>הסכם שותפות</t>
  </si>
  <si>
    <t>30.6.2025</t>
  </si>
  <si>
    <t>מסובים</t>
  </si>
  <si>
    <t>רמ'י מרכז לבדיקת הארכת חוזה</t>
  </si>
  <si>
    <t>לוד צפון</t>
  </si>
  <si>
    <t>רמ'י מרכז לצורך קידום בקשה לארכה</t>
  </si>
  <si>
    <t>שיחה ברגרזון + מנהל מח' עסקאות רמ'י</t>
  </si>
  <si>
    <t>שיחת זום עורכי דין הסכם הקמה</t>
  </si>
  <si>
    <t>קרית גת</t>
  </si>
  <si>
    <t>שיחה יאיר וחני בענין שומה</t>
  </si>
  <si>
    <t>קרית שמונה</t>
  </si>
  <si>
    <t>הקניית בעלות שיחה אפרת</t>
  </si>
  <si>
    <t>מסירת תשריט מדיה לרמ'י</t>
  </si>
  <si>
    <t>שיחה טל</t>
  </si>
  <si>
    <t>שיחה צחי בר</t>
  </si>
  <si>
    <t>רכישה בצרה</t>
  </si>
  <si>
    <t>רמ"י מרכז לקבלת מסמכים</t>
  </si>
  <si>
    <t>עיון בתיקונים להשגה וולף</t>
  </si>
  <si>
    <t>הכנת תיק לטאבו</t>
  </si>
  <si>
    <t>בדיקת נסחי רישום ופנימית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</si>
</sst>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E8F66C-61BB-4231-AE99-645D29017DCF}" autoFormatId="16" applyNumberFormats="0" applyBorderFormats="0" applyFontFormats="0" applyPatternFormats="0" applyAlignmentFormats="0" applyWidthHeightFormats="0">
  <queryTableRefresh nextId="8">
    <queryTableFields count="7">
      <queryTableField id="1" name="תאריך" tableColumnId="1"/>
      <queryTableField id="2" name="שם לקוח" tableColumnId="2"/>
      <queryTableField id="3" name="שם תיק" tableColumnId="3"/>
      <queryTableField id="4" name="פירוט" tableColumnId="4"/>
      <queryTableField id="5" name="עובד" tableColumnId="5"/>
      <queryTableField id="6" name="שעות" tableColumnId="6"/>
      <queryTableField id="7" name="הוצאות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D47E1-CECC-4C6C-95CB-319B95DF0F38}" name="טבלה_output" displayName="טבלה_output" ref="A1:G178" tableType="queryTable" totalsRowShown="0">
  <autoFilter ref="A1:G178" xr:uid="{D2BD47E1-CECC-4C6C-95CB-319B95DF0F38}"/>
  <tableColumns count="7">
    <tableColumn id="1" xr3:uid="{3405BC32-B5A7-4F9A-A0BB-2561AB311AE3}" uniqueName="1" name="תאריך" queryTableFieldId="1" dataDxfId="5"/>
    <tableColumn id="2" xr3:uid="{FC86E7E0-0FFD-4B30-BE8F-6BDB8883D440}" uniqueName="2" name="שם לקוח" queryTableFieldId="2" dataDxfId="4"/>
    <tableColumn id="3" xr3:uid="{6DAC59AD-AD0E-482C-BAE3-7B09FA814645}" uniqueName="3" name="שם תיק" queryTableFieldId="3" dataDxfId="3"/>
    <tableColumn id="4" xr3:uid="{A66298CE-4B67-4EA0-A328-56BEC9409C6E}" uniqueName="4" name="פירוט" queryTableFieldId="4" dataDxfId="2"/>
    <tableColumn id="5" xr3:uid="{24922FEF-6A6C-414E-AABC-91A73025721E}" uniqueName="5" name="עובד" queryTableFieldId="5" dataDxfId="1"/>
    <tableColumn id="6" xr3:uid="{5AAC2D7C-A5E4-4063-88CB-76DBCD000712}" uniqueName="6" name="שעות" queryTableFieldId="6"/>
    <tableColumn id="7" xr3:uid="{3F507A9C-EF6A-486D-8924-EF6CC4FD4CE8}" uniqueName="7" name="הוצאות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7C0C-FED0-4E00-9E28-2D7E20F8DD59}">
  <dimension ref="A1:K178"/>
  <sheetViews>
    <sheetView rightToLeft="1" tabSelected="1" workbookViewId="0">
      <selection activeCell="O9" sqref="O9"/>
    </sheetView>
  </sheetViews>
  <sheetFormatPr defaultRowHeight="14.25" x14ac:dyDescent="0.2"/>
  <cols>
    <col min="1" max="1" width="9.875" bestFit="1" customWidth="1"/>
    <col min="2" max="2" width="12" bestFit="1" customWidth="1"/>
    <col min="3" max="3" width="12.625" bestFit="1" customWidth="1"/>
    <col min="4" max="4" width="44.625" bestFit="1" customWidth="1"/>
    <col min="5" max="5" width="6.5" bestFit="1" customWidth="1"/>
    <col min="6" max="6" width="7.125" bestFit="1" customWidth="1"/>
    <col min="7" max="7" width="8.375" bestFit="1" customWidth="1"/>
    <col min="10" max="10" width="12.25" customWidth="1"/>
    <col min="11" max="11" width="12.8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">
      <c r="A2" s="1" t="s">
        <v>78</v>
      </c>
      <c r="B2" s="1" t="s">
        <v>18</v>
      </c>
      <c r="C2" s="1" t="s">
        <v>79</v>
      </c>
      <c r="D2" s="1" t="s">
        <v>80</v>
      </c>
      <c r="E2" s="1" t="s">
        <v>7</v>
      </c>
      <c r="F2">
        <v>0.75</v>
      </c>
      <c r="G2" s="1" t="s">
        <v>8</v>
      </c>
    </row>
    <row r="3" spans="1:11" x14ac:dyDescent="0.2">
      <c r="A3" s="1" t="s">
        <v>81</v>
      </c>
      <c r="B3" s="1" t="s">
        <v>12</v>
      </c>
      <c r="C3" s="1" t="s">
        <v>50</v>
      </c>
      <c r="D3" s="1" t="s">
        <v>82</v>
      </c>
      <c r="E3" s="1" t="s">
        <v>7</v>
      </c>
      <c r="F3">
        <v>1.75</v>
      </c>
      <c r="G3" s="1" t="s">
        <v>8</v>
      </c>
    </row>
    <row r="4" spans="1:11" x14ac:dyDescent="0.2">
      <c r="A4" s="1" t="s">
        <v>81</v>
      </c>
      <c r="B4" s="1" t="s">
        <v>83</v>
      </c>
      <c r="C4" s="1" t="s">
        <v>84</v>
      </c>
      <c r="D4" s="1" t="s">
        <v>85</v>
      </c>
      <c r="E4" s="1" t="s">
        <v>7</v>
      </c>
      <c r="F4">
        <v>2.5</v>
      </c>
      <c r="G4" s="1" t="s">
        <v>8</v>
      </c>
    </row>
    <row r="5" spans="1:11" x14ac:dyDescent="0.2">
      <c r="A5" s="1" t="s">
        <v>81</v>
      </c>
      <c r="B5" s="1" t="s">
        <v>23</v>
      </c>
      <c r="C5" s="1" t="s">
        <v>31</v>
      </c>
      <c r="D5" s="1" t="s">
        <v>86</v>
      </c>
      <c r="E5" s="1" t="s">
        <v>7</v>
      </c>
      <c r="F5">
        <v>1</v>
      </c>
      <c r="G5" s="1" t="s">
        <v>8</v>
      </c>
    </row>
    <row r="6" spans="1:11" x14ac:dyDescent="0.2">
      <c r="A6" s="1" t="s">
        <v>81</v>
      </c>
      <c r="B6" s="1" t="s">
        <v>20</v>
      </c>
      <c r="C6" s="1" t="s">
        <v>87</v>
      </c>
      <c r="D6" s="1" t="s">
        <v>88</v>
      </c>
      <c r="E6" s="1" t="s">
        <v>7</v>
      </c>
      <c r="F6">
        <v>2</v>
      </c>
      <c r="G6" s="1" t="s">
        <v>8</v>
      </c>
      <c r="I6" t="s">
        <v>4</v>
      </c>
      <c r="J6" t="s">
        <v>0</v>
      </c>
      <c r="K6" t="s">
        <v>5</v>
      </c>
    </row>
    <row r="7" spans="1:11" x14ac:dyDescent="0.2">
      <c r="A7" s="1" t="s">
        <v>81</v>
      </c>
      <c r="B7" s="1" t="s">
        <v>48</v>
      </c>
      <c r="C7" s="1" t="s">
        <v>12</v>
      </c>
      <c r="D7" s="1" t="s">
        <v>89</v>
      </c>
      <c r="E7" s="1" t="s">
        <v>7</v>
      </c>
      <c r="F7">
        <v>1</v>
      </c>
      <c r="G7" s="1" t="s">
        <v>8</v>
      </c>
      <c r="I7" t="s">
        <v>7</v>
      </c>
      <c r="J7" t="str" cm="1">
        <f t="array" ref="J7:J28">_xlfn.UNIQUE(A2:A178)</f>
        <v>01.06.2025</v>
      </c>
      <c r="K7">
        <f>SUMIFS(F:F, E:E, I7, A:A, J7)</f>
        <v>0.75</v>
      </c>
    </row>
    <row r="8" spans="1:11" x14ac:dyDescent="0.2">
      <c r="A8" s="1" t="s">
        <v>81</v>
      </c>
      <c r="B8" s="1" t="s">
        <v>90</v>
      </c>
      <c r="C8" s="1" t="s">
        <v>80</v>
      </c>
      <c r="D8" s="1" t="s">
        <v>91</v>
      </c>
      <c r="E8" s="1" t="s">
        <v>7</v>
      </c>
      <c r="F8">
        <v>0.5</v>
      </c>
      <c r="G8" s="1" t="s">
        <v>8</v>
      </c>
      <c r="I8" t="s">
        <v>7</v>
      </c>
      <c r="J8" t="str">
        <v>3.6.2025</v>
      </c>
      <c r="K8">
        <f>SUMIFS(F:F, E:E, I8, A:A, J8)</f>
        <v>9.5</v>
      </c>
    </row>
    <row r="9" spans="1:11" x14ac:dyDescent="0.2">
      <c r="A9" s="1" t="s">
        <v>81</v>
      </c>
      <c r="B9" s="1" t="s">
        <v>11</v>
      </c>
      <c r="C9" s="1" t="s">
        <v>92</v>
      </c>
      <c r="D9" s="1" t="s">
        <v>93</v>
      </c>
      <c r="E9" s="1" t="s">
        <v>7</v>
      </c>
      <c r="F9">
        <v>0.75</v>
      </c>
      <c r="G9" s="1" t="s">
        <v>8</v>
      </c>
      <c r="I9" t="s">
        <v>7</v>
      </c>
      <c r="J9" t="str">
        <v>4.6.2025</v>
      </c>
      <c r="K9">
        <f>SUMIFS(F:F, E:E, I9, A:A, J9)</f>
        <v>21.25</v>
      </c>
    </row>
    <row r="10" spans="1:11" x14ac:dyDescent="0.2">
      <c r="A10" s="1" t="s">
        <v>94</v>
      </c>
      <c r="B10" s="1" t="s">
        <v>11</v>
      </c>
      <c r="C10" s="1" t="s">
        <v>95</v>
      </c>
      <c r="D10" s="1" t="s">
        <v>96</v>
      </c>
      <c r="E10" s="1" t="s">
        <v>7</v>
      </c>
      <c r="F10">
        <v>4</v>
      </c>
      <c r="G10" s="1" t="s">
        <v>8</v>
      </c>
      <c r="I10" t="s">
        <v>7</v>
      </c>
      <c r="J10" t="str">
        <v>5.6.2025</v>
      </c>
      <c r="K10">
        <f>SUMIFS(F:F, E:E, I10, A:A, J10)</f>
        <v>8</v>
      </c>
    </row>
    <row r="11" spans="1:11" x14ac:dyDescent="0.2">
      <c r="A11" s="1" t="s">
        <v>94</v>
      </c>
      <c r="B11" s="1" t="s">
        <v>97</v>
      </c>
      <c r="C11" s="1" t="s">
        <v>98</v>
      </c>
      <c r="D11" s="1" t="s">
        <v>99</v>
      </c>
      <c r="E11" s="1" t="s">
        <v>7</v>
      </c>
      <c r="F11">
        <v>4</v>
      </c>
      <c r="G11" s="1" t="s">
        <v>8</v>
      </c>
      <c r="I11" t="s">
        <v>7</v>
      </c>
      <c r="J11" t="str">
        <v>7.6.2025</v>
      </c>
      <c r="K11">
        <f>SUMIFS(F:F, E:E, I11, A:A, J11)</f>
        <v>2.5</v>
      </c>
    </row>
    <row r="12" spans="1:11" x14ac:dyDescent="0.2">
      <c r="A12" s="1" t="s">
        <v>94</v>
      </c>
      <c r="B12" s="1" t="s">
        <v>38</v>
      </c>
      <c r="C12" s="1" t="s">
        <v>24</v>
      </c>
      <c r="D12" s="1" t="s">
        <v>100</v>
      </c>
      <c r="E12" s="1" t="s">
        <v>7</v>
      </c>
      <c r="F12">
        <v>4</v>
      </c>
      <c r="G12" s="1" t="s">
        <v>8</v>
      </c>
      <c r="I12" t="s">
        <v>7</v>
      </c>
      <c r="J12" t="str">
        <v>8.6.2025</v>
      </c>
      <c r="K12">
        <f>SUMIFS(F:F, E:E, I12, A:A, J12)</f>
        <v>12.75</v>
      </c>
    </row>
    <row r="13" spans="1:11" x14ac:dyDescent="0.2">
      <c r="A13" s="1" t="s">
        <v>94</v>
      </c>
      <c r="B13" s="1" t="s">
        <v>9</v>
      </c>
      <c r="C13" s="1" t="s">
        <v>101</v>
      </c>
      <c r="D13" s="1" t="s">
        <v>102</v>
      </c>
      <c r="E13" s="1" t="s">
        <v>7</v>
      </c>
      <c r="F13">
        <v>2.5</v>
      </c>
      <c r="G13" s="1" t="s">
        <v>8</v>
      </c>
      <c r="I13" t="s">
        <v>7</v>
      </c>
      <c r="J13" t="str">
        <v>9.6.2025</v>
      </c>
      <c r="K13">
        <f>SUMIFS(F:F, E:E, I13, A:A, J13)</f>
        <v>16.75</v>
      </c>
    </row>
    <row r="14" spans="1:11" x14ac:dyDescent="0.2">
      <c r="A14" s="1" t="s">
        <v>94</v>
      </c>
      <c r="B14" s="1" t="s">
        <v>9</v>
      </c>
      <c r="C14" s="1" t="s">
        <v>21</v>
      </c>
      <c r="D14" s="1" t="s">
        <v>103</v>
      </c>
      <c r="E14" s="1" t="s">
        <v>7</v>
      </c>
      <c r="F14">
        <v>2.5</v>
      </c>
      <c r="G14" s="1" t="s">
        <v>8</v>
      </c>
      <c r="I14" t="s">
        <v>7</v>
      </c>
      <c r="J14" t="str">
        <v>10.6.2025</v>
      </c>
      <c r="K14">
        <f>SUMIFS(F:F, E:E, I14, A:A, J14)</f>
        <v>11</v>
      </c>
    </row>
    <row r="15" spans="1:11" x14ac:dyDescent="0.2">
      <c r="A15" s="1" t="s">
        <v>94</v>
      </c>
      <c r="B15" s="1" t="s">
        <v>12</v>
      </c>
      <c r="C15" s="1" t="s">
        <v>104</v>
      </c>
      <c r="D15" s="1" t="s">
        <v>105</v>
      </c>
      <c r="E15" s="1" t="s">
        <v>7</v>
      </c>
      <c r="F15">
        <v>1</v>
      </c>
      <c r="G15" s="1" t="s">
        <v>8</v>
      </c>
      <c r="I15" t="s">
        <v>7</v>
      </c>
      <c r="J15" t="str">
        <v>11.6.2025</v>
      </c>
      <c r="K15">
        <f>SUMIFS(F:F, E:E, I15, A:A, J15)</f>
        <v>13.5</v>
      </c>
    </row>
    <row r="16" spans="1:11" x14ac:dyDescent="0.2">
      <c r="A16" s="1" t="s">
        <v>94</v>
      </c>
      <c r="B16" s="1" t="s">
        <v>106</v>
      </c>
      <c r="C16" s="1" t="s">
        <v>107</v>
      </c>
      <c r="D16" s="1" t="s">
        <v>108</v>
      </c>
      <c r="E16" s="1" t="s">
        <v>7</v>
      </c>
      <c r="F16">
        <v>0.75</v>
      </c>
      <c r="G16" s="1" t="s">
        <v>8</v>
      </c>
      <c r="I16" t="s">
        <v>7</v>
      </c>
      <c r="J16" t="str">
        <v>12.6.2025</v>
      </c>
      <c r="K16">
        <f>SUMIFS(F:F, E:E, I16, A:A, J16)</f>
        <v>12</v>
      </c>
    </row>
    <row r="17" spans="1:11" x14ac:dyDescent="0.2">
      <c r="A17" s="1" t="s">
        <v>94</v>
      </c>
      <c r="B17" s="1" t="s">
        <v>23</v>
      </c>
      <c r="C17" s="1" t="s">
        <v>31</v>
      </c>
      <c r="D17" s="1" t="s">
        <v>109</v>
      </c>
      <c r="E17" s="1" t="s">
        <v>7</v>
      </c>
      <c r="F17">
        <v>1</v>
      </c>
      <c r="G17" s="1" t="s">
        <v>8</v>
      </c>
      <c r="I17" t="s">
        <v>7</v>
      </c>
      <c r="J17" t="str">
        <v>15.6.2025</v>
      </c>
      <c r="K17">
        <f>SUMIFS(F:F, E:E, I17, A:A, J17)</f>
        <v>3.5</v>
      </c>
    </row>
    <row r="18" spans="1:11" x14ac:dyDescent="0.2">
      <c r="A18" s="1" t="s">
        <v>94</v>
      </c>
      <c r="B18" s="1" t="s">
        <v>48</v>
      </c>
      <c r="C18" s="1" t="s">
        <v>49</v>
      </c>
      <c r="D18" s="1" t="s">
        <v>110</v>
      </c>
      <c r="E18" s="1" t="s">
        <v>7</v>
      </c>
      <c r="F18">
        <v>1.5</v>
      </c>
      <c r="G18" s="1" t="s">
        <v>8</v>
      </c>
      <c r="I18" t="s">
        <v>7</v>
      </c>
      <c r="J18" t="str">
        <v>16.6.2025</v>
      </c>
      <c r="K18">
        <f>SUMIFS(F:F, E:E, I18, A:A, J18)</f>
        <v>6.5</v>
      </c>
    </row>
    <row r="19" spans="1:11" x14ac:dyDescent="0.2">
      <c r="A19" s="1" t="s">
        <v>111</v>
      </c>
      <c r="B19" s="1" t="s">
        <v>37</v>
      </c>
      <c r="C19" s="1" t="s">
        <v>15</v>
      </c>
      <c r="D19" s="1" t="s">
        <v>112</v>
      </c>
      <c r="E19" s="1" t="s">
        <v>7</v>
      </c>
      <c r="F19">
        <v>1.5</v>
      </c>
      <c r="G19" s="1" t="s">
        <v>8</v>
      </c>
      <c r="I19" t="s">
        <v>7</v>
      </c>
      <c r="J19" t="str">
        <v>17.6.2025</v>
      </c>
      <c r="K19">
        <f>SUMIFS(F:F, E:E, I19, A:A, J19)</f>
        <v>11.25</v>
      </c>
    </row>
    <row r="20" spans="1:11" x14ac:dyDescent="0.2">
      <c r="A20" s="1" t="s">
        <v>111</v>
      </c>
      <c r="B20" s="1" t="s">
        <v>35</v>
      </c>
      <c r="C20" s="1" t="s">
        <v>55</v>
      </c>
      <c r="D20" s="1" t="s">
        <v>113</v>
      </c>
      <c r="E20" s="1" t="s">
        <v>7</v>
      </c>
      <c r="F20">
        <v>0.75</v>
      </c>
      <c r="G20" s="1" t="s">
        <v>8</v>
      </c>
      <c r="I20" t="s">
        <v>7</v>
      </c>
      <c r="J20" t="str">
        <v>18.6.2025</v>
      </c>
      <c r="K20">
        <f>SUMIFS(F:F, E:E, I20, A:A, J20)</f>
        <v>8</v>
      </c>
    </row>
    <row r="21" spans="1:11" x14ac:dyDescent="0.2">
      <c r="A21" s="1" t="s">
        <v>111</v>
      </c>
      <c r="B21" s="1" t="s">
        <v>48</v>
      </c>
      <c r="C21" s="1" t="s">
        <v>66</v>
      </c>
      <c r="D21" s="1" t="s">
        <v>114</v>
      </c>
      <c r="E21" s="1" t="s">
        <v>7</v>
      </c>
      <c r="F21">
        <v>2</v>
      </c>
      <c r="G21" s="1" t="s">
        <v>8</v>
      </c>
      <c r="I21" t="s">
        <v>7</v>
      </c>
      <c r="J21" t="str">
        <v>19.6.2025</v>
      </c>
      <c r="K21">
        <f>SUMIFS(F:F, E:E, I21, A:A, J21)</f>
        <v>20.75</v>
      </c>
    </row>
    <row r="22" spans="1:11" x14ac:dyDescent="0.2">
      <c r="A22" s="1" t="s">
        <v>111</v>
      </c>
      <c r="B22" s="1" t="s">
        <v>14</v>
      </c>
      <c r="C22" s="1" t="s">
        <v>115</v>
      </c>
      <c r="D22" s="1" t="s">
        <v>116</v>
      </c>
      <c r="E22" s="1" t="s">
        <v>7</v>
      </c>
      <c r="F22">
        <v>0.25</v>
      </c>
      <c r="G22" s="1" t="s">
        <v>8</v>
      </c>
      <c r="I22" t="s">
        <v>7</v>
      </c>
      <c r="J22" t="str">
        <v>22.6.2025</v>
      </c>
      <c r="K22">
        <f>SUMIFS(F:F, E:E, I22, A:A, J22)</f>
        <v>7</v>
      </c>
    </row>
    <row r="23" spans="1:11" x14ac:dyDescent="0.2">
      <c r="A23" s="1" t="s">
        <v>111</v>
      </c>
      <c r="B23" s="1" t="s">
        <v>35</v>
      </c>
      <c r="C23" s="1" t="s">
        <v>51</v>
      </c>
      <c r="D23" s="1" t="s">
        <v>117</v>
      </c>
      <c r="E23" s="1" t="s">
        <v>7</v>
      </c>
      <c r="F23">
        <v>0.5</v>
      </c>
      <c r="G23" s="1" t="s">
        <v>8</v>
      </c>
      <c r="I23" t="s">
        <v>7</v>
      </c>
      <c r="J23" t="str">
        <v>23.06.2025</v>
      </c>
      <c r="K23">
        <f>SUMIFS(F:F, E:E, I23, A:A, J23)</f>
        <v>13</v>
      </c>
    </row>
    <row r="24" spans="1:11" x14ac:dyDescent="0.2">
      <c r="A24" s="1" t="s">
        <v>111</v>
      </c>
      <c r="B24" s="1" t="s">
        <v>53</v>
      </c>
      <c r="C24" s="1" t="s">
        <v>54</v>
      </c>
      <c r="D24" s="1" t="s">
        <v>118</v>
      </c>
      <c r="E24" s="1" t="s">
        <v>7</v>
      </c>
      <c r="F24">
        <v>0.5</v>
      </c>
      <c r="G24" s="1" t="s">
        <v>8</v>
      </c>
      <c r="I24" t="s">
        <v>7</v>
      </c>
      <c r="J24" t="str">
        <v>24.06.2025</v>
      </c>
      <c r="K24">
        <f>SUMIFS(F:F, E:E, I24, A:A, J24)</f>
        <v>11.5</v>
      </c>
    </row>
    <row r="25" spans="1:11" x14ac:dyDescent="0.2">
      <c r="A25" s="1" t="s">
        <v>111</v>
      </c>
      <c r="B25" s="1" t="s">
        <v>18</v>
      </c>
      <c r="C25" s="1" t="s">
        <v>32</v>
      </c>
      <c r="D25" s="1" t="s">
        <v>119</v>
      </c>
      <c r="E25" s="1" t="s">
        <v>7</v>
      </c>
      <c r="F25">
        <v>1</v>
      </c>
      <c r="G25" s="1" t="s">
        <v>8</v>
      </c>
      <c r="I25" t="s">
        <v>7</v>
      </c>
      <c r="J25" t="str">
        <v>25.06.2025</v>
      </c>
      <c r="K25">
        <f>SUMIFS(F:F, E:E, I25, A:A, J25)</f>
        <v>7.5</v>
      </c>
    </row>
    <row r="26" spans="1:11" x14ac:dyDescent="0.2">
      <c r="A26" s="1" t="s">
        <v>111</v>
      </c>
      <c r="B26" s="1" t="s">
        <v>23</v>
      </c>
      <c r="C26" s="1" t="s">
        <v>31</v>
      </c>
      <c r="D26" s="1" t="s">
        <v>120</v>
      </c>
      <c r="E26" s="1" t="s">
        <v>7</v>
      </c>
      <c r="F26">
        <v>0.5</v>
      </c>
      <c r="G26" s="1" t="s">
        <v>8</v>
      </c>
      <c r="I26" t="s">
        <v>7</v>
      </c>
      <c r="J26" t="str">
        <v>26.06.2025</v>
      </c>
      <c r="K26">
        <f>SUMIFS(F:F, E:E, I26, A:A, J26)</f>
        <v>18.5</v>
      </c>
    </row>
    <row r="27" spans="1:11" x14ac:dyDescent="0.2">
      <c r="A27" s="1" t="s">
        <v>111</v>
      </c>
      <c r="B27" s="1" t="s">
        <v>9</v>
      </c>
      <c r="C27" s="1" t="s">
        <v>121</v>
      </c>
      <c r="D27" s="1" t="s">
        <v>68</v>
      </c>
      <c r="E27" s="1" t="s">
        <v>7</v>
      </c>
      <c r="F27">
        <v>1</v>
      </c>
      <c r="G27" s="1" t="s">
        <v>8</v>
      </c>
      <c r="I27" t="s">
        <v>7</v>
      </c>
      <c r="J27" t="str">
        <v>29.6.2025</v>
      </c>
      <c r="K27">
        <f>SUMIFS(F:F, E:E, I27, A:A, J27)</f>
        <v>6.5</v>
      </c>
    </row>
    <row r="28" spans="1:11" x14ac:dyDescent="0.2">
      <c r="A28" s="1" t="s">
        <v>122</v>
      </c>
      <c r="B28" s="1" t="s">
        <v>35</v>
      </c>
      <c r="C28" s="1" t="s">
        <v>55</v>
      </c>
      <c r="D28" s="1" t="s">
        <v>123</v>
      </c>
      <c r="E28" s="1" t="s">
        <v>7</v>
      </c>
      <c r="F28">
        <v>1</v>
      </c>
      <c r="G28" s="1" t="s">
        <v>8</v>
      </c>
      <c r="I28" t="s">
        <v>7</v>
      </c>
      <c r="J28" t="str">
        <v>30.6.2025</v>
      </c>
      <c r="K28">
        <f>SUMIFS(F:F, E:E, I28, A:A, J28)</f>
        <v>10.5</v>
      </c>
    </row>
    <row r="29" spans="1:11" x14ac:dyDescent="0.2">
      <c r="A29" s="1" t="s">
        <v>122</v>
      </c>
      <c r="B29" s="1" t="s">
        <v>48</v>
      </c>
      <c r="C29" s="1" t="s">
        <v>66</v>
      </c>
      <c r="D29" s="1" t="s">
        <v>124</v>
      </c>
      <c r="E29" s="1" t="s">
        <v>7</v>
      </c>
      <c r="F29">
        <v>1.5</v>
      </c>
      <c r="G29" s="1" t="s">
        <v>8</v>
      </c>
      <c r="I29" t="s">
        <v>7</v>
      </c>
      <c r="K29">
        <f>SUMIFS(F:F, E:E, I29, A:A, J29)</f>
        <v>0</v>
      </c>
    </row>
    <row r="30" spans="1:11" x14ac:dyDescent="0.2">
      <c r="A30" s="1" t="s">
        <v>125</v>
      </c>
      <c r="B30" s="1" t="s">
        <v>20</v>
      </c>
      <c r="C30" s="1" t="s">
        <v>26</v>
      </c>
      <c r="D30" s="1" t="s">
        <v>126</v>
      </c>
      <c r="E30" s="1" t="s">
        <v>7</v>
      </c>
      <c r="F30">
        <v>1</v>
      </c>
      <c r="G30" s="1" t="s">
        <v>8</v>
      </c>
      <c r="I30" t="s">
        <v>7</v>
      </c>
      <c r="K30">
        <f>SUMIFS(F:F, E:E, I30, A:A, J30)</f>
        <v>0</v>
      </c>
    </row>
    <row r="31" spans="1:11" x14ac:dyDescent="0.2">
      <c r="A31" s="1" t="s">
        <v>125</v>
      </c>
      <c r="B31" s="1" t="s">
        <v>40</v>
      </c>
      <c r="C31" s="1" t="s">
        <v>61</v>
      </c>
      <c r="D31" s="1" t="s">
        <v>127</v>
      </c>
      <c r="E31" s="1" t="s">
        <v>7</v>
      </c>
      <c r="F31">
        <v>2</v>
      </c>
      <c r="G31" s="1" t="s">
        <v>8</v>
      </c>
      <c r="I31" t="s">
        <v>7</v>
      </c>
      <c r="K31">
        <f>SUMIFS(F:F, E:E, I31, A:A, J31)</f>
        <v>0</v>
      </c>
    </row>
    <row r="32" spans="1:11" x14ac:dyDescent="0.2">
      <c r="A32" s="1" t="s">
        <v>125</v>
      </c>
      <c r="B32" s="1" t="s">
        <v>20</v>
      </c>
      <c r="C32" s="1" t="s">
        <v>128</v>
      </c>
      <c r="D32" s="1" t="s">
        <v>129</v>
      </c>
      <c r="E32" s="1" t="s">
        <v>7</v>
      </c>
      <c r="F32">
        <v>0.75</v>
      </c>
      <c r="G32" s="1" t="s">
        <v>8</v>
      </c>
      <c r="I32" t="s">
        <v>7</v>
      </c>
      <c r="K32">
        <f>SUMIFS(F:F, E:E, I32, A:A, J32)</f>
        <v>0</v>
      </c>
    </row>
    <row r="33" spans="1:7" x14ac:dyDescent="0.2">
      <c r="A33" s="1" t="s">
        <v>125</v>
      </c>
      <c r="B33" s="1" t="s">
        <v>48</v>
      </c>
      <c r="C33" s="1" t="s">
        <v>12</v>
      </c>
      <c r="D33" s="1" t="s">
        <v>130</v>
      </c>
      <c r="E33" s="1" t="s">
        <v>7</v>
      </c>
      <c r="F33">
        <v>5.5</v>
      </c>
      <c r="G33" s="1" t="s">
        <v>8</v>
      </c>
    </row>
    <row r="34" spans="1:7" x14ac:dyDescent="0.2">
      <c r="A34" s="1" t="s">
        <v>125</v>
      </c>
      <c r="B34" s="1" t="s">
        <v>23</v>
      </c>
      <c r="C34" s="1" t="s">
        <v>31</v>
      </c>
      <c r="D34" s="1" t="s">
        <v>131</v>
      </c>
      <c r="E34" s="1" t="s">
        <v>7</v>
      </c>
      <c r="F34">
        <v>1.75</v>
      </c>
      <c r="G34" s="1" t="s">
        <v>8</v>
      </c>
    </row>
    <row r="35" spans="1:7" x14ac:dyDescent="0.2">
      <c r="A35" s="1" t="s">
        <v>125</v>
      </c>
      <c r="B35" s="1" t="s">
        <v>132</v>
      </c>
      <c r="C35" s="1" t="s">
        <v>133</v>
      </c>
      <c r="D35" s="1" t="s">
        <v>134</v>
      </c>
      <c r="E35" s="1" t="s">
        <v>7</v>
      </c>
      <c r="F35">
        <v>1.25</v>
      </c>
      <c r="G35" s="1" t="s">
        <v>8</v>
      </c>
    </row>
    <row r="36" spans="1:7" x14ac:dyDescent="0.2">
      <c r="A36" s="1" t="s">
        <v>125</v>
      </c>
      <c r="B36" s="1" t="s">
        <v>83</v>
      </c>
      <c r="C36" s="1" t="s">
        <v>135</v>
      </c>
      <c r="D36" s="1" t="s">
        <v>136</v>
      </c>
      <c r="E36" s="1" t="s">
        <v>7</v>
      </c>
      <c r="F36">
        <v>0.5</v>
      </c>
      <c r="G36" s="1" t="s">
        <v>8</v>
      </c>
    </row>
    <row r="37" spans="1:7" x14ac:dyDescent="0.2">
      <c r="A37" s="1" t="s">
        <v>137</v>
      </c>
      <c r="B37" s="1" t="s">
        <v>13</v>
      </c>
      <c r="C37" s="1" t="s">
        <v>30</v>
      </c>
      <c r="D37" s="1" t="s">
        <v>138</v>
      </c>
      <c r="E37" s="1" t="s">
        <v>7</v>
      </c>
      <c r="F37">
        <v>4.5</v>
      </c>
      <c r="G37" s="1" t="s">
        <v>8</v>
      </c>
    </row>
    <row r="38" spans="1:7" x14ac:dyDescent="0.2">
      <c r="A38" s="1" t="s">
        <v>137</v>
      </c>
      <c r="B38" s="1" t="s">
        <v>27</v>
      </c>
      <c r="C38" s="1" t="s">
        <v>33</v>
      </c>
      <c r="D38" s="1" t="s">
        <v>139</v>
      </c>
      <c r="E38" s="1" t="s">
        <v>7</v>
      </c>
      <c r="F38">
        <v>1.5</v>
      </c>
      <c r="G38" s="1" t="s">
        <v>8</v>
      </c>
    </row>
    <row r="39" spans="1:7" x14ac:dyDescent="0.2">
      <c r="A39" s="1" t="s">
        <v>137</v>
      </c>
      <c r="B39" s="1" t="s">
        <v>97</v>
      </c>
      <c r="C39" s="1" t="s">
        <v>140</v>
      </c>
      <c r="D39" s="1" t="s">
        <v>141</v>
      </c>
      <c r="E39" s="1" t="s">
        <v>7</v>
      </c>
      <c r="F39">
        <v>0.75</v>
      </c>
      <c r="G39" s="1" t="s">
        <v>8</v>
      </c>
    </row>
    <row r="40" spans="1:7" x14ac:dyDescent="0.2">
      <c r="A40" s="1" t="s">
        <v>137</v>
      </c>
      <c r="B40" s="1" t="s">
        <v>11</v>
      </c>
      <c r="C40" s="1" t="s">
        <v>142</v>
      </c>
      <c r="D40" s="1" t="s">
        <v>143</v>
      </c>
      <c r="E40" s="1" t="s">
        <v>7</v>
      </c>
      <c r="F40">
        <v>1.25</v>
      </c>
      <c r="G40" s="1" t="s">
        <v>8</v>
      </c>
    </row>
    <row r="41" spans="1:7" x14ac:dyDescent="0.2">
      <c r="A41" s="1" t="s">
        <v>137</v>
      </c>
      <c r="B41" s="1" t="s">
        <v>48</v>
      </c>
      <c r="C41" s="1" t="s">
        <v>66</v>
      </c>
      <c r="D41" s="1" t="s">
        <v>144</v>
      </c>
      <c r="E41" s="1" t="s">
        <v>7</v>
      </c>
      <c r="F41">
        <v>3</v>
      </c>
      <c r="G41" s="1" t="s">
        <v>8</v>
      </c>
    </row>
    <row r="42" spans="1:7" x14ac:dyDescent="0.2">
      <c r="A42" s="1" t="s">
        <v>137</v>
      </c>
      <c r="B42" s="1" t="s">
        <v>20</v>
      </c>
      <c r="C42" s="1" t="s">
        <v>62</v>
      </c>
      <c r="D42" s="1" t="s">
        <v>145</v>
      </c>
      <c r="E42" s="1" t="s">
        <v>7</v>
      </c>
      <c r="F42">
        <v>2.5</v>
      </c>
      <c r="G42" s="1" t="s">
        <v>8</v>
      </c>
    </row>
    <row r="43" spans="1:7" x14ac:dyDescent="0.2">
      <c r="A43" s="1" t="s">
        <v>137</v>
      </c>
      <c r="B43" s="1" t="s">
        <v>40</v>
      </c>
      <c r="C43" s="1" t="s">
        <v>61</v>
      </c>
      <c r="D43" s="1" t="s">
        <v>146</v>
      </c>
      <c r="E43" s="1" t="s">
        <v>7</v>
      </c>
      <c r="F43">
        <v>0.5</v>
      </c>
      <c r="G43" s="1" t="s">
        <v>8</v>
      </c>
    </row>
    <row r="44" spans="1:7" x14ac:dyDescent="0.2">
      <c r="A44" s="1" t="s">
        <v>137</v>
      </c>
      <c r="B44" s="1" t="s">
        <v>25</v>
      </c>
      <c r="C44" s="1" t="s">
        <v>44</v>
      </c>
      <c r="D44" s="1" t="s">
        <v>147</v>
      </c>
      <c r="E44" s="1" t="s">
        <v>7</v>
      </c>
      <c r="F44">
        <v>1</v>
      </c>
      <c r="G44" s="1" t="s">
        <v>8</v>
      </c>
    </row>
    <row r="45" spans="1:7" x14ac:dyDescent="0.2">
      <c r="A45" s="1" t="s">
        <v>137</v>
      </c>
      <c r="B45" s="1" t="s">
        <v>23</v>
      </c>
      <c r="C45" s="1" t="s">
        <v>31</v>
      </c>
      <c r="D45" s="1" t="s">
        <v>148</v>
      </c>
      <c r="E45" s="1" t="s">
        <v>7</v>
      </c>
      <c r="F45">
        <v>1</v>
      </c>
      <c r="G45" s="1" t="s">
        <v>8</v>
      </c>
    </row>
    <row r="46" spans="1:7" x14ac:dyDescent="0.2">
      <c r="A46" s="1" t="s">
        <v>137</v>
      </c>
      <c r="B46" s="1" t="s">
        <v>132</v>
      </c>
      <c r="C46" s="1" t="s">
        <v>133</v>
      </c>
      <c r="D46" s="1" t="s">
        <v>149</v>
      </c>
      <c r="E46" s="1" t="s">
        <v>7</v>
      </c>
      <c r="F46">
        <v>0.75</v>
      </c>
      <c r="G46" s="1" t="s">
        <v>8</v>
      </c>
    </row>
    <row r="47" spans="1:7" x14ac:dyDescent="0.2">
      <c r="A47" s="1" t="s">
        <v>150</v>
      </c>
      <c r="B47" s="1" t="s">
        <v>37</v>
      </c>
      <c r="C47" s="1" t="s">
        <v>15</v>
      </c>
      <c r="D47" s="1" t="s">
        <v>151</v>
      </c>
      <c r="E47" s="1" t="s">
        <v>7</v>
      </c>
      <c r="F47">
        <v>3</v>
      </c>
      <c r="G47" s="1" t="s">
        <v>8</v>
      </c>
    </row>
    <row r="48" spans="1:7" x14ac:dyDescent="0.2">
      <c r="A48" s="1" t="s">
        <v>150</v>
      </c>
      <c r="B48" s="1" t="s">
        <v>11</v>
      </c>
      <c r="C48" s="1" t="s">
        <v>142</v>
      </c>
      <c r="D48" s="1" t="s">
        <v>152</v>
      </c>
      <c r="E48" s="1" t="s">
        <v>7</v>
      </c>
      <c r="F48">
        <v>2</v>
      </c>
      <c r="G48" s="1" t="s">
        <v>8</v>
      </c>
    </row>
    <row r="49" spans="1:7" x14ac:dyDescent="0.2">
      <c r="A49" s="1" t="s">
        <v>150</v>
      </c>
      <c r="B49" s="1" t="s">
        <v>97</v>
      </c>
      <c r="C49" s="1" t="s">
        <v>140</v>
      </c>
      <c r="D49" s="1" t="s">
        <v>153</v>
      </c>
      <c r="E49" s="1" t="s">
        <v>7</v>
      </c>
      <c r="F49">
        <v>0.5</v>
      </c>
      <c r="G49" s="1" t="s">
        <v>8</v>
      </c>
    </row>
    <row r="50" spans="1:7" x14ac:dyDescent="0.2">
      <c r="A50" s="1" t="s">
        <v>150</v>
      </c>
      <c r="B50" s="1" t="s">
        <v>9</v>
      </c>
      <c r="C50" s="1" t="s">
        <v>154</v>
      </c>
      <c r="D50" s="1" t="s">
        <v>155</v>
      </c>
      <c r="E50" s="1" t="s">
        <v>7</v>
      </c>
      <c r="F50">
        <v>0.5</v>
      </c>
      <c r="G50" s="1" t="s">
        <v>8</v>
      </c>
    </row>
    <row r="51" spans="1:7" x14ac:dyDescent="0.2">
      <c r="A51" s="1" t="s">
        <v>150</v>
      </c>
      <c r="B51" s="1" t="s">
        <v>20</v>
      </c>
      <c r="C51" s="1" t="s">
        <v>62</v>
      </c>
      <c r="D51" s="1" t="s">
        <v>156</v>
      </c>
      <c r="E51" s="1" t="s">
        <v>7</v>
      </c>
      <c r="F51">
        <v>1.5</v>
      </c>
      <c r="G51" s="1" t="s">
        <v>8</v>
      </c>
    </row>
    <row r="52" spans="1:7" x14ac:dyDescent="0.2">
      <c r="A52" s="1" t="s">
        <v>150</v>
      </c>
      <c r="B52" s="1" t="s">
        <v>23</v>
      </c>
      <c r="C52" s="1" t="s">
        <v>41</v>
      </c>
      <c r="D52" s="1" t="s">
        <v>157</v>
      </c>
      <c r="E52" s="1" t="s">
        <v>7</v>
      </c>
      <c r="F52">
        <v>0.5</v>
      </c>
      <c r="G52" s="1" t="s">
        <v>8</v>
      </c>
    </row>
    <row r="53" spans="1:7" x14ac:dyDescent="0.2">
      <c r="A53" s="1" t="s">
        <v>150</v>
      </c>
      <c r="B53" s="1" t="s">
        <v>48</v>
      </c>
      <c r="C53" s="1" t="s">
        <v>66</v>
      </c>
      <c r="D53" s="1" t="s">
        <v>158</v>
      </c>
      <c r="E53" s="1" t="s">
        <v>7</v>
      </c>
      <c r="F53">
        <v>1</v>
      </c>
      <c r="G53" s="1" t="s">
        <v>8</v>
      </c>
    </row>
    <row r="54" spans="1:7" x14ac:dyDescent="0.2">
      <c r="A54" s="1" t="s">
        <v>150</v>
      </c>
      <c r="B54" s="1" t="s">
        <v>76</v>
      </c>
      <c r="C54" s="1" t="s">
        <v>77</v>
      </c>
      <c r="D54" s="1" t="s">
        <v>159</v>
      </c>
      <c r="E54" s="1" t="s">
        <v>7</v>
      </c>
      <c r="F54">
        <v>1</v>
      </c>
      <c r="G54" s="1" t="s">
        <v>8</v>
      </c>
    </row>
    <row r="55" spans="1:7" x14ac:dyDescent="0.2">
      <c r="A55" s="1" t="s">
        <v>150</v>
      </c>
      <c r="B55" s="1" t="s">
        <v>10</v>
      </c>
      <c r="C55" s="1" t="s">
        <v>160</v>
      </c>
      <c r="D55" s="1" t="s">
        <v>161</v>
      </c>
      <c r="E55" s="1" t="s">
        <v>7</v>
      </c>
      <c r="F55">
        <v>1</v>
      </c>
      <c r="G55" s="1" t="s">
        <v>8</v>
      </c>
    </row>
    <row r="56" spans="1:7" x14ac:dyDescent="0.2">
      <c r="A56" s="1" t="s">
        <v>162</v>
      </c>
      <c r="B56" s="1" t="s">
        <v>11</v>
      </c>
      <c r="C56" s="1" t="s">
        <v>142</v>
      </c>
      <c r="D56" s="1" t="s">
        <v>163</v>
      </c>
      <c r="E56" s="1" t="s">
        <v>7</v>
      </c>
      <c r="F56">
        <v>0.75</v>
      </c>
      <c r="G56" s="1" t="s">
        <v>8</v>
      </c>
    </row>
    <row r="57" spans="1:7" x14ac:dyDescent="0.2">
      <c r="A57" s="1" t="s">
        <v>162</v>
      </c>
      <c r="B57" s="1" t="s">
        <v>164</v>
      </c>
      <c r="C57" s="1" t="s">
        <v>72</v>
      </c>
      <c r="D57" s="1" t="s">
        <v>165</v>
      </c>
      <c r="E57" s="1" t="s">
        <v>7</v>
      </c>
      <c r="F57">
        <v>2.5</v>
      </c>
      <c r="G57" s="1" t="s">
        <v>8</v>
      </c>
    </row>
    <row r="58" spans="1:7" x14ac:dyDescent="0.2">
      <c r="A58" s="1" t="s">
        <v>162</v>
      </c>
      <c r="B58" s="1" t="s">
        <v>9</v>
      </c>
      <c r="C58" s="1" t="s">
        <v>21</v>
      </c>
      <c r="D58" s="1" t="s">
        <v>166</v>
      </c>
      <c r="E58" s="1" t="s">
        <v>7</v>
      </c>
      <c r="F58">
        <v>0.5</v>
      </c>
      <c r="G58" s="1" t="s">
        <v>8</v>
      </c>
    </row>
    <row r="59" spans="1:7" x14ac:dyDescent="0.2">
      <c r="A59" s="1" t="s">
        <v>162</v>
      </c>
      <c r="B59" s="1" t="s">
        <v>11</v>
      </c>
      <c r="C59" s="1" t="s">
        <v>142</v>
      </c>
      <c r="D59" s="1" t="s">
        <v>167</v>
      </c>
      <c r="E59" s="1" t="s">
        <v>7</v>
      </c>
      <c r="F59">
        <v>1</v>
      </c>
      <c r="G59" s="1" t="s">
        <v>8</v>
      </c>
    </row>
    <row r="60" spans="1:7" x14ac:dyDescent="0.2">
      <c r="A60" s="1" t="s">
        <v>162</v>
      </c>
      <c r="B60" s="1" t="s">
        <v>13</v>
      </c>
      <c r="C60" s="1" t="s">
        <v>30</v>
      </c>
      <c r="D60" s="1" t="s">
        <v>168</v>
      </c>
      <c r="E60" s="1" t="s">
        <v>7</v>
      </c>
      <c r="F60">
        <v>1</v>
      </c>
      <c r="G60" s="1" t="s">
        <v>8</v>
      </c>
    </row>
    <row r="61" spans="1:7" x14ac:dyDescent="0.2">
      <c r="A61" s="1" t="s">
        <v>162</v>
      </c>
      <c r="B61" s="1" t="s">
        <v>18</v>
      </c>
      <c r="C61" s="1" t="s">
        <v>32</v>
      </c>
      <c r="D61" s="1" t="s">
        <v>169</v>
      </c>
      <c r="E61" s="1" t="s">
        <v>7</v>
      </c>
      <c r="F61">
        <v>1</v>
      </c>
      <c r="G61" s="1" t="s">
        <v>8</v>
      </c>
    </row>
    <row r="62" spans="1:7" x14ac:dyDescent="0.2">
      <c r="A62" s="1" t="s">
        <v>162</v>
      </c>
      <c r="B62" s="1" t="s">
        <v>9</v>
      </c>
      <c r="C62" s="1" t="s">
        <v>170</v>
      </c>
      <c r="D62" s="1" t="s">
        <v>171</v>
      </c>
      <c r="E62" s="1" t="s">
        <v>7</v>
      </c>
      <c r="F62">
        <v>1</v>
      </c>
      <c r="G62" s="1" t="s">
        <v>8</v>
      </c>
    </row>
    <row r="63" spans="1:7" x14ac:dyDescent="0.2">
      <c r="A63" s="1" t="s">
        <v>162</v>
      </c>
      <c r="B63" s="1" t="s">
        <v>23</v>
      </c>
      <c r="C63" s="1" t="s">
        <v>31</v>
      </c>
      <c r="D63" s="1" t="s">
        <v>172</v>
      </c>
      <c r="E63" s="1" t="s">
        <v>7</v>
      </c>
      <c r="F63">
        <v>2</v>
      </c>
      <c r="G63" s="1" t="s">
        <v>8</v>
      </c>
    </row>
    <row r="64" spans="1:7" x14ac:dyDescent="0.2">
      <c r="A64" s="1" t="s">
        <v>162</v>
      </c>
      <c r="B64" s="1" t="s">
        <v>173</v>
      </c>
      <c r="C64" s="1" t="s">
        <v>15</v>
      </c>
      <c r="D64" s="1" t="s">
        <v>174</v>
      </c>
      <c r="E64" s="1" t="s">
        <v>7</v>
      </c>
      <c r="F64">
        <v>0.75</v>
      </c>
      <c r="G64" s="1" t="s">
        <v>8</v>
      </c>
    </row>
    <row r="65" spans="1:7" x14ac:dyDescent="0.2">
      <c r="A65" s="1" t="s">
        <v>162</v>
      </c>
      <c r="B65" s="1" t="s">
        <v>10</v>
      </c>
      <c r="C65" s="1" t="s">
        <v>42</v>
      </c>
      <c r="D65" s="1" t="s">
        <v>175</v>
      </c>
      <c r="E65" s="1" t="s">
        <v>7</v>
      </c>
      <c r="F65">
        <v>1</v>
      </c>
      <c r="G65" s="1" t="s">
        <v>8</v>
      </c>
    </row>
    <row r="66" spans="1:7" x14ac:dyDescent="0.2">
      <c r="A66" s="1" t="s">
        <v>162</v>
      </c>
      <c r="B66" s="1" t="s">
        <v>16</v>
      </c>
      <c r="C66" s="1" t="s">
        <v>176</v>
      </c>
      <c r="D66" s="1" t="s">
        <v>59</v>
      </c>
      <c r="E66" s="1" t="s">
        <v>7</v>
      </c>
      <c r="F66">
        <v>0.5</v>
      </c>
      <c r="G66" s="1" t="s">
        <v>8</v>
      </c>
    </row>
    <row r="67" spans="1:7" x14ac:dyDescent="0.2">
      <c r="A67" s="1" t="s">
        <v>162</v>
      </c>
      <c r="B67" s="1" t="s">
        <v>63</v>
      </c>
      <c r="C67" s="1" t="s">
        <v>44</v>
      </c>
      <c r="D67" s="1" t="s">
        <v>177</v>
      </c>
      <c r="E67" s="1" t="s">
        <v>7</v>
      </c>
      <c r="F67">
        <v>1.5</v>
      </c>
      <c r="G67" s="1" t="s">
        <v>8</v>
      </c>
    </row>
    <row r="68" spans="1:7" x14ac:dyDescent="0.2">
      <c r="A68" s="1" t="s">
        <v>178</v>
      </c>
      <c r="B68" s="1" t="s">
        <v>23</v>
      </c>
      <c r="C68" s="1" t="s">
        <v>31</v>
      </c>
      <c r="D68" s="1" t="s">
        <v>179</v>
      </c>
      <c r="E68" s="1" t="s">
        <v>7</v>
      </c>
      <c r="F68">
        <v>3.5</v>
      </c>
      <c r="G68" s="1" t="s">
        <v>8</v>
      </c>
    </row>
    <row r="69" spans="1:7" x14ac:dyDescent="0.2">
      <c r="A69" s="1" t="s">
        <v>178</v>
      </c>
      <c r="B69" s="1" t="s">
        <v>60</v>
      </c>
      <c r="C69" s="1" t="s">
        <v>180</v>
      </c>
      <c r="D69" s="1" t="s">
        <v>181</v>
      </c>
      <c r="E69" s="1" t="s">
        <v>7</v>
      </c>
      <c r="F69">
        <v>1</v>
      </c>
      <c r="G69" s="1" t="s">
        <v>8</v>
      </c>
    </row>
    <row r="70" spans="1:7" x14ac:dyDescent="0.2">
      <c r="A70" s="1" t="s">
        <v>178</v>
      </c>
      <c r="B70" s="1" t="s">
        <v>46</v>
      </c>
      <c r="C70" s="1" t="s">
        <v>24</v>
      </c>
      <c r="D70" s="1" t="s">
        <v>182</v>
      </c>
      <c r="E70" s="1" t="s">
        <v>7</v>
      </c>
      <c r="F70">
        <v>1</v>
      </c>
      <c r="G70" s="1" t="s">
        <v>8</v>
      </c>
    </row>
    <row r="71" spans="1:7" x14ac:dyDescent="0.2">
      <c r="A71" s="1" t="s">
        <v>178</v>
      </c>
      <c r="B71" s="1" t="s">
        <v>76</v>
      </c>
      <c r="C71" s="1" t="s">
        <v>183</v>
      </c>
      <c r="D71" s="1" t="s">
        <v>184</v>
      </c>
      <c r="E71" s="1" t="s">
        <v>7</v>
      </c>
      <c r="F71">
        <v>0.5</v>
      </c>
      <c r="G71" s="1" t="s">
        <v>8</v>
      </c>
    </row>
    <row r="72" spans="1:7" x14ac:dyDescent="0.2">
      <c r="A72" s="1" t="s">
        <v>178</v>
      </c>
      <c r="B72" s="1" t="s">
        <v>11</v>
      </c>
      <c r="C72" s="1" t="s">
        <v>142</v>
      </c>
      <c r="D72" s="1" t="s">
        <v>185</v>
      </c>
      <c r="E72" s="1" t="s">
        <v>7</v>
      </c>
      <c r="F72">
        <v>1.5</v>
      </c>
      <c r="G72" s="1" t="s">
        <v>8</v>
      </c>
    </row>
    <row r="73" spans="1:7" x14ac:dyDescent="0.2">
      <c r="A73" s="1" t="s">
        <v>178</v>
      </c>
      <c r="B73" s="1" t="s">
        <v>9</v>
      </c>
      <c r="C73" s="1" t="s">
        <v>21</v>
      </c>
      <c r="D73" s="1" t="s">
        <v>186</v>
      </c>
      <c r="E73" s="1" t="s">
        <v>7</v>
      </c>
      <c r="F73">
        <v>0.75</v>
      </c>
      <c r="G73" s="1" t="s">
        <v>8</v>
      </c>
    </row>
    <row r="74" spans="1:7" x14ac:dyDescent="0.2">
      <c r="A74" s="1" t="s">
        <v>178</v>
      </c>
      <c r="B74" s="1" t="s">
        <v>9</v>
      </c>
      <c r="C74" s="1" t="s">
        <v>154</v>
      </c>
      <c r="D74" s="1" t="s">
        <v>187</v>
      </c>
      <c r="E74" s="1" t="s">
        <v>7</v>
      </c>
      <c r="F74">
        <v>0.5</v>
      </c>
      <c r="G74" s="1" t="s">
        <v>8</v>
      </c>
    </row>
    <row r="75" spans="1:7" x14ac:dyDescent="0.2">
      <c r="A75" s="1" t="s">
        <v>178</v>
      </c>
      <c r="B75" s="1" t="s">
        <v>12</v>
      </c>
      <c r="C75" s="1" t="s">
        <v>15</v>
      </c>
      <c r="D75" s="1" t="s">
        <v>188</v>
      </c>
      <c r="E75" s="1" t="s">
        <v>7</v>
      </c>
      <c r="F75">
        <v>0.5</v>
      </c>
      <c r="G75" s="1" t="s">
        <v>8</v>
      </c>
    </row>
    <row r="76" spans="1:7" x14ac:dyDescent="0.2">
      <c r="A76" s="1" t="s">
        <v>178</v>
      </c>
      <c r="B76" s="1" t="s">
        <v>12</v>
      </c>
      <c r="C76" s="1" t="s">
        <v>29</v>
      </c>
      <c r="D76" s="1" t="s">
        <v>189</v>
      </c>
      <c r="E76" s="1" t="s">
        <v>7</v>
      </c>
      <c r="F76">
        <v>1.5</v>
      </c>
      <c r="G76" s="1" t="s">
        <v>8</v>
      </c>
    </row>
    <row r="77" spans="1:7" x14ac:dyDescent="0.2">
      <c r="A77" s="1" t="s">
        <v>178</v>
      </c>
      <c r="B77" s="1" t="s">
        <v>35</v>
      </c>
      <c r="C77" s="1" t="s">
        <v>51</v>
      </c>
      <c r="D77" s="1" t="s">
        <v>190</v>
      </c>
      <c r="E77" s="1" t="s">
        <v>7</v>
      </c>
      <c r="F77">
        <v>0.25</v>
      </c>
      <c r="G77" s="1" t="s">
        <v>8</v>
      </c>
    </row>
    <row r="78" spans="1:7" x14ac:dyDescent="0.2">
      <c r="A78" s="1" t="s">
        <v>178</v>
      </c>
      <c r="B78" s="1" t="s">
        <v>22</v>
      </c>
      <c r="C78" s="1" t="s">
        <v>75</v>
      </c>
      <c r="D78" s="1" t="s">
        <v>191</v>
      </c>
      <c r="E78" s="1" t="s">
        <v>7</v>
      </c>
      <c r="F78">
        <v>1</v>
      </c>
      <c r="G78" s="1" t="s">
        <v>8</v>
      </c>
    </row>
    <row r="79" spans="1:7" x14ac:dyDescent="0.2">
      <c r="A79" s="1" t="s">
        <v>192</v>
      </c>
      <c r="B79" s="1" t="s">
        <v>12</v>
      </c>
      <c r="C79" s="1" t="s">
        <v>193</v>
      </c>
      <c r="D79" s="1" t="s">
        <v>194</v>
      </c>
      <c r="E79" s="1" t="s">
        <v>7</v>
      </c>
      <c r="F79">
        <v>2.5</v>
      </c>
      <c r="G79" s="1" t="s">
        <v>8</v>
      </c>
    </row>
    <row r="80" spans="1:7" x14ac:dyDescent="0.2">
      <c r="A80" s="1" t="s">
        <v>192</v>
      </c>
      <c r="B80" s="1" t="s">
        <v>18</v>
      </c>
      <c r="C80" s="1" t="s">
        <v>32</v>
      </c>
      <c r="D80" s="1" t="s">
        <v>195</v>
      </c>
      <c r="E80" s="1" t="s">
        <v>7</v>
      </c>
      <c r="F80">
        <v>1</v>
      </c>
      <c r="G80" s="1" t="s">
        <v>8</v>
      </c>
    </row>
    <row r="81" spans="1:7" x14ac:dyDescent="0.2">
      <c r="A81" s="1" t="s">
        <v>196</v>
      </c>
      <c r="B81" s="1" t="s">
        <v>197</v>
      </c>
      <c r="C81" s="1" t="s">
        <v>198</v>
      </c>
      <c r="D81" s="1" t="s">
        <v>199</v>
      </c>
      <c r="E81" s="1" t="s">
        <v>7</v>
      </c>
      <c r="F81">
        <v>0.75</v>
      </c>
      <c r="G81" s="1" t="s">
        <v>8</v>
      </c>
    </row>
    <row r="82" spans="1:7" x14ac:dyDescent="0.2">
      <c r="A82" s="1" t="s">
        <v>196</v>
      </c>
      <c r="B82" s="1" t="s">
        <v>11</v>
      </c>
      <c r="C82" s="1" t="s">
        <v>142</v>
      </c>
      <c r="D82" s="1" t="s">
        <v>200</v>
      </c>
      <c r="E82" s="1" t="s">
        <v>7</v>
      </c>
      <c r="F82">
        <v>0.5</v>
      </c>
      <c r="G82" s="1" t="s">
        <v>8</v>
      </c>
    </row>
    <row r="83" spans="1:7" x14ac:dyDescent="0.2">
      <c r="A83" s="1" t="s">
        <v>196</v>
      </c>
      <c r="B83" s="1" t="s">
        <v>201</v>
      </c>
      <c r="C83" s="1" t="s">
        <v>202</v>
      </c>
      <c r="D83" s="1" t="s">
        <v>203</v>
      </c>
      <c r="E83" s="1" t="s">
        <v>7</v>
      </c>
      <c r="F83">
        <v>1</v>
      </c>
      <c r="G83" s="1" t="s">
        <v>8</v>
      </c>
    </row>
    <row r="84" spans="1:7" x14ac:dyDescent="0.2">
      <c r="A84" s="1" t="s">
        <v>196</v>
      </c>
      <c r="B84" s="1" t="s">
        <v>23</v>
      </c>
      <c r="C84" s="1" t="s">
        <v>34</v>
      </c>
      <c r="D84" s="1" t="s">
        <v>204</v>
      </c>
      <c r="E84" s="1" t="s">
        <v>7</v>
      </c>
      <c r="F84">
        <v>0.75</v>
      </c>
      <c r="G84" s="1" t="s">
        <v>8</v>
      </c>
    </row>
    <row r="85" spans="1:7" x14ac:dyDescent="0.2">
      <c r="A85" s="1" t="s">
        <v>196</v>
      </c>
      <c r="B85" s="1" t="s">
        <v>18</v>
      </c>
      <c r="C85" s="1" t="s">
        <v>32</v>
      </c>
      <c r="D85" s="1" t="s">
        <v>205</v>
      </c>
      <c r="E85" s="1" t="s">
        <v>7</v>
      </c>
      <c r="F85">
        <v>0.5</v>
      </c>
      <c r="G85" s="1" t="s">
        <v>8</v>
      </c>
    </row>
    <row r="86" spans="1:7" x14ac:dyDescent="0.2">
      <c r="A86" s="1" t="s">
        <v>196</v>
      </c>
      <c r="B86" s="1" t="s">
        <v>23</v>
      </c>
      <c r="C86" s="1" t="s">
        <v>31</v>
      </c>
      <c r="D86" s="1" t="s">
        <v>206</v>
      </c>
      <c r="E86" s="1" t="s">
        <v>7</v>
      </c>
      <c r="F86">
        <v>1.5</v>
      </c>
      <c r="G86" s="1" t="s">
        <v>8</v>
      </c>
    </row>
    <row r="87" spans="1:7" x14ac:dyDescent="0.2">
      <c r="A87" s="1" t="s">
        <v>196</v>
      </c>
      <c r="B87" s="1" t="s">
        <v>12</v>
      </c>
      <c r="C87" s="1" t="s">
        <v>207</v>
      </c>
      <c r="D87" s="1" t="s">
        <v>208</v>
      </c>
      <c r="E87" s="1" t="s">
        <v>7</v>
      </c>
      <c r="F87">
        <v>1.5</v>
      </c>
      <c r="G87" s="1" t="s">
        <v>8</v>
      </c>
    </row>
    <row r="88" spans="1:7" x14ac:dyDescent="0.2">
      <c r="A88" s="1" t="s">
        <v>209</v>
      </c>
      <c r="B88" s="1" t="s">
        <v>11</v>
      </c>
      <c r="C88" s="1" t="s">
        <v>39</v>
      </c>
      <c r="D88" s="1" t="s">
        <v>71</v>
      </c>
      <c r="E88" s="1" t="s">
        <v>7</v>
      </c>
      <c r="F88">
        <v>1</v>
      </c>
      <c r="G88" s="1" t="s">
        <v>8</v>
      </c>
    </row>
    <row r="89" spans="1:7" x14ac:dyDescent="0.2">
      <c r="A89" s="1" t="s">
        <v>209</v>
      </c>
      <c r="B89" s="1" t="s">
        <v>210</v>
      </c>
      <c r="C89" s="1" t="s">
        <v>74</v>
      </c>
      <c r="D89" s="1" t="s">
        <v>211</v>
      </c>
      <c r="E89" s="1" t="s">
        <v>7</v>
      </c>
      <c r="F89">
        <v>1</v>
      </c>
      <c r="G89" s="1" t="s">
        <v>8</v>
      </c>
    </row>
    <row r="90" spans="1:7" x14ac:dyDescent="0.2">
      <c r="A90" s="1" t="s">
        <v>209</v>
      </c>
      <c r="B90" s="1" t="s">
        <v>9</v>
      </c>
      <c r="C90" s="1" t="s">
        <v>154</v>
      </c>
      <c r="D90" s="1" t="s">
        <v>212</v>
      </c>
      <c r="E90" s="1" t="s">
        <v>7</v>
      </c>
      <c r="F90">
        <v>1.25</v>
      </c>
      <c r="G90" s="1" t="s">
        <v>8</v>
      </c>
    </row>
    <row r="91" spans="1:7" x14ac:dyDescent="0.2">
      <c r="A91" s="1" t="s">
        <v>209</v>
      </c>
      <c r="B91" s="1" t="s">
        <v>18</v>
      </c>
      <c r="C91" s="1" t="s">
        <v>213</v>
      </c>
      <c r="D91" s="1" t="s">
        <v>43</v>
      </c>
      <c r="E91" s="1" t="s">
        <v>7</v>
      </c>
      <c r="F91">
        <v>0.75</v>
      </c>
      <c r="G91" s="1" t="s">
        <v>8</v>
      </c>
    </row>
    <row r="92" spans="1:7" x14ac:dyDescent="0.2">
      <c r="A92" s="1" t="s">
        <v>209</v>
      </c>
      <c r="B92" s="1" t="s">
        <v>173</v>
      </c>
      <c r="C92" s="1" t="s">
        <v>17</v>
      </c>
      <c r="D92" s="1" t="s">
        <v>214</v>
      </c>
      <c r="E92" s="1" t="s">
        <v>7</v>
      </c>
      <c r="F92">
        <v>1.5</v>
      </c>
      <c r="G92" s="1" t="s">
        <v>8</v>
      </c>
    </row>
    <row r="93" spans="1:7" x14ac:dyDescent="0.2">
      <c r="A93" s="1" t="s">
        <v>209</v>
      </c>
      <c r="B93" s="1" t="s">
        <v>11</v>
      </c>
      <c r="C93" s="1" t="s">
        <v>142</v>
      </c>
      <c r="D93" s="1" t="s">
        <v>215</v>
      </c>
      <c r="E93" s="1" t="s">
        <v>7</v>
      </c>
      <c r="F93">
        <v>2</v>
      </c>
      <c r="G93" s="1" t="s">
        <v>8</v>
      </c>
    </row>
    <row r="94" spans="1:7" x14ac:dyDescent="0.2">
      <c r="A94" s="1" t="s">
        <v>209</v>
      </c>
      <c r="B94" s="1" t="s">
        <v>9</v>
      </c>
      <c r="C94" s="1" t="s">
        <v>65</v>
      </c>
      <c r="D94" s="1" t="s">
        <v>73</v>
      </c>
      <c r="E94" s="1" t="s">
        <v>7</v>
      </c>
      <c r="F94">
        <v>1.25</v>
      </c>
      <c r="G94" s="1" t="s">
        <v>8</v>
      </c>
    </row>
    <row r="95" spans="1:7" x14ac:dyDescent="0.2">
      <c r="A95" s="1" t="s">
        <v>209</v>
      </c>
      <c r="B95" s="1" t="s">
        <v>173</v>
      </c>
      <c r="C95" s="1" t="s">
        <v>17</v>
      </c>
      <c r="D95" s="1" t="s">
        <v>216</v>
      </c>
      <c r="E95" s="1" t="s">
        <v>7</v>
      </c>
      <c r="F95">
        <v>1.5</v>
      </c>
      <c r="G95" s="1" t="s">
        <v>8</v>
      </c>
    </row>
    <row r="96" spans="1:7" x14ac:dyDescent="0.2">
      <c r="A96" s="1" t="s">
        <v>209</v>
      </c>
      <c r="B96" s="1" t="s">
        <v>197</v>
      </c>
      <c r="C96" s="1" t="s">
        <v>217</v>
      </c>
      <c r="D96" s="1" t="s">
        <v>218</v>
      </c>
      <c r="E96" s="1" t="s">
        <v>7</v>
      </c>
      <c r="F96">
        <v>1</v>
      </c>
      <c r="G96" s="1" t="s">
        <v>8</v>
      </c>
    </row>
    <row r="97" spans="1:7" x14ac:dyDescent="0.2">
      <c r="A97" s="1" t="s">
        <v>219</v>
      </c>
      <c r="B97" s="1" t="s">
        <v>12</v>
      </c>
      <c r="C97" s="1" t="s">
        <v>220</v>
      </c>
      <c r="D97" s="1" t="s">
        <v>221</v>
      </c>
      <c r="E97" s="1" t="s">
        <v>7</v>
      </c>
      <c r="F97">
        <v>1.5</v>
      </c>
      <c r="G97" s="1" t="s">
        <v>8</v>
      </c>
    </row>
    <row r="98" spans="1:7" x14ac:dyDescent="0.2">
      <c r="A98" s="1" t="s">
        <v>219</v>
      </c>
      <c r="B98" s="1" t="s">
        <v>9</v>
      </c>
      <c r="C98" s="1" t="s">
        <v>222</v>
      </c>
      <c r="D98" s="1" t="s">
        <v>223</v>
      </c>
      <c r="E98" s="1" t="s">
        <v>7</v>
      </c>
      <c r="F98">
        <v>1.5</v>
      </c>
      <c r="G98" s="1" t="s">
        <v>8</v>
      </c>
    </row>
    <row r="99" spans="1:7" x14ac:dyDescent="0.2">
      <c r="A99" s="1" t="s">
        <v>219</v>
      </c>
      <c r="B99" s="1" t="s">
        <v>48</v>
      </c>
      <c r="C99" s="1" t="s">
        <v>224</v>
      </c>
      <c r="D99" s="1" t="s">
        <v>225</v>
      </c>
      <c r="E99" s="1" t="s">
        <v>7</v>
      </c>
      <c r="F99">
        <v>2.5</v>
      </c>
      <c r="G99" s="1" t="s">
        <v>8</v>
      </c>
    </row>
    <row r="100" spans="1:7" x14ac:dyDescent="0.2">
      <c r="A100" s="1" t="s">
        <v>219</v>
      </c>
      <c r="B100" s="1" t="s">
        <v>20</v>
      </c>
      <c r="C100" s="1" t="s">
        <v>36</v>
      </c>
      <c r="D100" s="1" t="s">
        <v>226</v>
      </c>
      <c r="E100" s="1" t="s">
        <v>7</v>
      </c>
      <c r="F100">
        <v>1.5</v>
      </c>
      <c r="G100" s="1" t="s">
        <v>8</v>
      </c>
    </row>
    <row r="101" spans="1:7" x14ac:dyDescent="0.2">
      <c r="A101" s="1" t="s">
        <v>219</v>
      </c>
      <c r="B101" s="1" t="s">
        <v>12</v>
      </c>
      <c r="C101" s="1" t="s">
        <v>207</v>
      </c>
      <c r="D101" s="1" t="s">
        <v>227</v>
      </c>
      <c r="E101" s="1" t="s">
        <v>7</v>
      </c>
      <c r="F101">
        <v>1</v>
      </c>
      <c r="G101" s="1" t="s">
        <v>8</v>
      </c>
    </row>
    <row r="102" spans="1:7" x14ac:dyDescent="0.2">
      <c r="A102" s="1" t="s">
        <v>228</v>
      </c>
      <c r="B102" s="1" t="s">
        <v>173</v>
      </c>
      <c r="C102" s="1" t="s">
        <v>17</v>
      </c>
      <c r="D102" s="1" t="s">
        <v>229</v>
      </c>
      <c r="E102" s="1" t="s">
        <v>7</v>
      </c>
      <c r="F102">
        <v>1</v>
      </c>
      <c r="G102" s="1" t="s">
        <v>8</v>
      </c>
    </row>
    <row r="103" spans="1:7" x14ac:dyDescent="0.2">
      <c r="A103" s="1" t="s">
        <v>228</v>
      </c>
      <c r="B103" s="1" t="s">
        <v>64</v>
      </c>
      <c r="C103" s="1" t="s">
        <v>230</v>
      </c>
      <c r="D103" s="1" t="s">
        <v>231</v>
      </c>
      <c r="E103" s="1" t="s">
        <v>7</v>
      </c>
      <c r="F103">
        <v>2</v>
      </c>
      <c r="G103" s="1" t="s">
        <v>8</v>
      </c>
    </row>
    <row r="104" spans="1:7" x14ac:dyDescent="0.2">
      <c r="A104" s="1" t="s">
        <v>228</v>
      </c>
      <c r="B104" s="1" t="s">
        <v>48</v>
      </c>
      <c r="C104" s="1" t="s">
        <v>224</v>
      </c>
      <c r="D104" s="1" t="s">
        <v>232</v>
      </c>
      <c r="E104" s="1" t="s">
        <v>7</v>
      </c>
      <c r="F104">
        <v>2.5</v>
      </c>
      <c r="G104" s="1" t="s">
        <v>8</v>
      </c>
    </row>
    <row r="105" spans="1:7" x14ac:dyDescent="0.2">
      <c r="A105" s="1" t="s">
        <v>228</v>
      </c>
      <c r="B105" s="1" t="s">
        <v>210</v>
      </c>
      <c r="C105" s="1" t="s">
        <v>233</v>
      </c>
      <c r="D105" s="1" t="s">
        <v>234</v>
      </c>
      <c r="E105" s="1" t="s">
        <v>7</v>
      </c>
      <c r="F105">
        <v>1</v>
      </c>
      <c r="G105" s="1" t="s">
        <v>8</v>
      </c>
    </row>
    <row r="106" spans="1:7" x14ac:dyDescent="0.2">
      <c r="A106" s="1" t="s">
        <v>228</v>
      </c>
      <c r="B106" s="1" t="s">
        <v>13</v>
      </c>
      <c r="C106" s="1" t="s">
        <v>235</v>
      </c>
      <c r="D106" s="1" t="s">
        <v>236</v>
      </c>
      <c r="E106" s="1" t="s">
        <v>7</v>
      </c>
      <c r="F106">
        <v>3.5</v>
      </c>
      <c r="G106" s="1" t="s">
        <v>8</v>
      </c>
    </row>
    <row r="107" spans="1:7" x14ac:dyDescent="0.2">
      <c r="A107" s="1" t="s">
        <v>228</v>
      </c>
      <c r="B107" s="1" t="s">
        <v>23</v>
      </c>
      <c r="C107" s="1" t="s">
        <v>34</v>
      </c>
      <c r="D107" s="1" t="s">
        <v>237</v>
      </c>
      <c r="E107" s="1" t="s">
        <v>7</v>
      </c>
      <c r="F107">
        <v>1.5</v>
      </c>
      <c r="G107" s="1" t="s">
        <v>8</v>
      </c>
    </row>
    <row r="108" spans="1:7" x14ac:dyDescent="0.2">
      <c r="A108" s="1" t="s">
        <v>228</v>
      </c>
      <c r="B108" s="1" t="s">
        <v>12</v>
      </c>
      <c r="C108" s="1" t="s">
        <v>207</v>
      </c>
      <c r="D108" s="1" t="s">
        <v>238</v>
      </c>
      <c r="E108" s="1" t="s">
        <v>7</v>
      </c>
      <c r="F108">
        <v>2</v>
      </c>
      <c r="G108" s="1" t="s">
        <v>8</v>
      </c>
    </row>
    <row r="109" spans="1:7" x14ac:dyDescent="0.2">
      <c r="A109" s="1" t="s">
        <v>228</v>
      </c>
      <c r="B109" s="1" t="s">
        <v>14</v>
      </c>
      <c r="C109" s="1" t="s">
        <v>239</v>
      </c>
      <c r="D109" s="1" t="s">
        <v>240</v>
      </c>
      <c r="E109" s="1" t="s">
        <v>7</v>
      </c>
      <c r="F109">
        <v>0.5</v>
      </c>
      <c r="G109" s="1" t="s">
        <v>8</v>
      </c>
    </row>
    <row r="110" spans="1:7" x14ac:dyDescent="0.2">
      <c r="A110" s="1" t="s">
        <v>228</v>
      </c>
      <c r="B110" s="1" t="s">
        <v>9</v>
      </c>
      <c r="C110" s="1" t="s">
        <v>241</v>
      </c>
      <c r="D110" s="1" t="s">
        <v>242</v>
      </c>
      <c r="E110" s="1" t="s">
        <v>7</v>
      </c>
      <c r="F110">
        <v>1.5</v>
      </c>
      <c r="G110" s="1" t="s">
        <v>8</v>
      </c>
    </row>
    <row r="111" spans="1:7" x14ac:dyDescent="0.2">
      <c r="A111" s="1" t="s">
        <v>228</v>
      </c>
      <c r="B111" s="1" t="s">
        <v>9</v>
      </c>
      <c r="C111" s="1" t="s">
        <v>243</v>
      </c>
      <c r="D111" s="1" t="s">
        <v>242</v>
      </c>
      <c r="E111" s="1" t="s">
        <v>7</v>
      </c>
      <c r="F111">
        <v>1.5</v>
      </c>
      <c r="G111" s="1" t="s">
        <v>8</v>
      </c>
    </row>
    <row r="112" spans="1:7" x14ac:dyDescent="0.2">
      <c r="A112" s="1" t="s">
        <v>228</v>
      </c>
      <c r="B112" s="1" t="s">
        <v>48</v>
      </c>
      <c r="C112" s="1" t="s">
        <v>224</v>
      </c>
      <c r="D112" s="1" t="s">
        <v>244</v>
      </c>
      <c r="E112" s="1" t="s">
        <v>7</v>
      </c>
      <c r="F112">
        <v>1.5</v>
      </c>
      <c r="G112" s="1" t="s">
        <v>8</v>
      </c>
    </row>
    <row r="113" spans="1:7" x14ac:dyDescent="0.2">
      <c r="A113" s="1" t="s">
        <v>228</v>
      </c>
      <c r="B113" s="1" t="s">
        <v>173</v>
      </c>
      <c r="C113" s="1" t="s">
        <v>15</v>
      </c>
      <c r="D113" s="1" t="s">
        <v>245</v>
      </c>
      <c r="E113" s="1" t="s">
        <v>7</v>
      </c>
      <c r="F113">
        <v>0.5</v>
      </c>
      <c r="G113" s="1" t="s">
        <v>8</v>
      </c>
    </row>
    <row r="114" spans="1:7" x14ac:dyDescent="0.2">
      <c r="A114" s="1" t="s">
        <v>228</v>
      </c>
      <c r="B114" s="1" t="s">
        <v>20</v>
      </c>
      <c r="C114" s="1" t="s">
        <v>36</v>
      </c>
      <c r="D114" s="1" t="s">
        <v>246</v>
      </c>
      <c r="E114" s="1" t="s">
        <v>7</v>
      </c>
      <c r="F114">
        <v>1.5</v>
      </c>
      <c r="G114" s="1" t="s">
        <v>8</v>
      </c>
    </row>
    <row r="115" spans="1:7" x14ac:dyDescent="0.2">
      <c r="A115" s="1" t="s">
        <v>228</v>
      </c>
      <c r="B115" s="1" t="s">
        <v>11</v>
      </c>
      <c r="C115" s="1" t="s">
        <v>142</v>
      </c>
      <c r="D115" s="1" t="s">
        <v>247</v>
      </c>
      <c r="E115" s="1" t="s">
        <v>7</v>
      </c>
      <c r="F115">
        <v>0.25</v>
      </c>
      <c r="G115" s="1" t="s">
        <v>8</v>
      </c>
    </row>
    <row r="116" spans="1:7" x14ac:dyDescent="0.2">
      <c r="A116" s="1" t="s">
        <v>248</v>
      </c>
      <c r="B116" s="1" t="s">
        <v>48</v>
      </c>
      <c r="C116" s="1" t="s">
        <v>224</v>
      </c>
      <c r="D116" s="1" t="s">
        <v>249</v>
      </c>
      <c r="E116" s="1" t="s">
        <v>7</v>
      </c>
      <c r="F116">
        <v>0.75</v>
      </c>
      <c r="G116" s="1" t="s">
        <v>8</v>
      </c>
    </row>
    <row r="117" spans="1:7" x14ac:dyDescent="0.2">
      <c r="A117" s="1" t="s">
        <v>248</v>
      </c>
      <c r="B117" s="1" t="s">
        <v>12</v>
      </c>
      <c r="C117" s="1" t="s">
        <v>207</v>
      </c>
      <c r="D117" s="1" t="s">
        <v>250</v>
      </c>
      <c r="E117" s="1" t="s">
        <v>7</v>
      </c>
      <c r="F117">
        <v>1</v>
      </c>
      <c r="G117" s="1" t="s">
        <v>8</v>
      </c>
    </row>
    <row r="118" spans="1:7" x14ac:dyDescent="0.2">
      <c r="A118" s="1" t="s">
        <v>248</v>
      </c>
      <c r="B118" s="1" t="s">
        <v>13</v>
      </c>
      <c r="C118" s="1" t="s">
        <v>45</v>
      </c>
      <c r="D118" s="1" t="s">
        <v>251</v>
      </c>
      <c r="E118" s="1" t="s">
        <v>7</v>
      </c>
      <c r="F118">
        <v>0.75</v>
      </c>
      <c r="G118" s="1" t="s">
        <v>8</v>
      </c>
    </row>
    <row r="119" spans="1:7" x14ac:dyDescent="0.2">
      <c r="A119" s="1" t="s">
        <v>248</v>
      </c>
      <c r="B119" s="1" t="s">
        <v>46</v>
      </c>
      <c r="C119" s="1" t="s">
        <v>24</v>
      </c>
      <c r="D119" s="1" t="s">
        <v>252</v>
      </c>
      <c r="E119" s="1" t="s">
        <v>7</v>
      </c>
      <c r="F119">
        <v>0.75</v>
      </c>
      <c r="G119" s="1" t="s">
        <v>8</v>
      </c>
    </row>
    <row r="120" spans="1:7" x14ac:dyDescent="0.2">
      <c r="A120" s="1" t="s">
        <v>248</v>
      </c>
      <c r="B120" s="1" t="s">
        <v>197</v>
      </c>
      <c r="C120" s="1" t="s">
        <v>55</v>
      </c>
      <c r="D120" s="1" t="s">
        <v>253</v>
      </c>
      <c r="E120" s="1" t="s">
        <v>7</v>
      </c>
      <c r="F120">
        <v>1.25</v>
      </c>
      <c r="G120" s="1" t="s">
        <v>8</v>
      </c>
    </row>
    <row r="121" spans="1:7" x14ac:dyDescent="0.2">
      <c r="A121" s="1" t="s">
        <v>248</v>
      </c>
      <c r="B121" s="1" t="s">
        <v>20</v>
      </c>
      <c r="C121" s="1" t="s">
        <v>36</v>
      </c>
      <c r="D121" s="1" t="s">
        <v>254</v>
      </c>
      <c r="E121" s="1" t="s">
        <v>7</v>
      </c>
      <c r="F121">
        <v>0.75</v>
      </c>
      <c r="G121" s="1" t="s">
        <v>8</v>
      </c>
    </row>
    <row r="122" spans="1:7" x14ac:dyDescent="0.2">
      <c r="A122" s="1" t="s">
        <v>248</v>
      </c>
      <c r="B122" s="1" t="s">
        <v>97</v>
      </c>
      <c r="C122" s="1" t="s">
        <v>255</v>
      </c>
      <c r="D122" s="1" t="s">
        <v>256</v>
      </c>
      <c r="E122" s="1" t="s">
        <v>7</v>
      </c>
      <c r="F122">
        <v>0.75</v>
      </c>
      <c r="G122" s="1" t="s">
        <v>8</v>
      </c>
    </row>
    <row r="123" spans="1:7" x14ac:dyDescent="0.2">
      <c r="A123" s="1" t="s">
        <v>248</v>
      </c>
      <c r="B123" s="1" t="s">
        <v>9</v>
      </c>
      <c r="C123" s="1" t="s">
        <v>257</v>
      </c>
      <c r="D123" s="1" t="s">
        <v>258</v>
      </c>
      <c r="E123" s="1" t="s">
        <v>7</v>
      </c>
      <c r="F123">
        <v>1</v>
      </c>
      <c r="G123" s="1" t="s">
        <v>8</v>
      </c>
    </row>
    <row r="124" spans="1:7" x14ac:dyDescent="0.2">
      <c r="A124" s="1" t="s">
        <v>259</v>
      </c>
      <c r="B124" s="1" t="s">
        <v>11</v>
      </c>
      <c r="C124" s="1" t="s">
        <v>142</v>
      </c>
      <c r="D124" s="1" t="s">
        <v>260</v>
      </c>
      <c r="E124" s="1" t="s">
        <v>7</v>
      </c>
      <c r="F124">
        <v>2.5</v>
      </c>
      <c r="G124" s="1" t="s">
        <v>8</v>
      </c>
    </row>
    <row r="125" spans="1:7" x14ac:dyDescent="0.2">
      <c r="A125" s="1" t="s">
        <v>259</v>
      </c>
      <c r="B125" s="1" t="s">
        <v>10</v>
      </c>
      <c r="C125" s="1" t="s">
        <v>42</v>
      </c>
      <c r="D125" s="1" t="s">
        <v>261</v>
      </c>
      <c r="E125" s="1" t="s">
        <v>7</v>
      </c>
      <c r="F125">
        <v>0.75</v>
      </c>
      <c r="G125" s="1" t="s">
        <v>8</v>
      </c>
    </row>
    <row r="126" spans="1:7" x14ac:dyDescent="0.2">
      <c r="A126" s="1" t="s">
        <v>259</v>
      </c>
      <c r="B126" s="1" t="s">
        <v>13</v>
      </c>
      <c r="C126" s="1" t="s">
        <v>235</v>
      </c>
      <c r="D126" s="1" t="s">
        <v>262</v>
      </c>
      <c r="E126" s="1" t="s">
        <v>7</v>
      </c>
      <c r="F126">
        <v>4.5</v>
      </c>
      <c r="G126" s="1" t="s">
        <v>8</v>
      </c>
    </row>
    <row r="127" spans="1:7" x14ac:dyDescent="0.2">
      <c r="A127" s="1" t="s">
        <v>259</v>
      </c>
      <c r="B127" s="1" t="s">
        <v>48</v>
      </c>
      <c r="C127" s="1" t="s">
        <v>224</v>
      </c>
      <c r="D127" s="1" t="s">
        <v>263</v>
      </c>
      <c r="E127" s="1" t="s">
        <v>7</v>
      </c>
      <c r="F127">
        <v>1.75</v>
      </c>
      <c r="G127" s="1" t="s">
        <v>8</v>
      </c>
    </row>
    <row r="128" spans="1:7" x14ac:dyDescent="0.2">
      <c r="A128" s="1" t="s">
        <v>259</v>
      </c>
      <c r="B128" s="1" t="s">
        <v>14</v>
      </c>
      <c r="C128" s="1" t="s">
        <v>264</v>
      </c>
      <c r="D128" s="1" t="s">
        <v>265</v>
      </c>
      <c r="E128" s="1" t="s">
        <v>7</v>
      </c>
      <c r="F128">
        <v>0.5</v>
      </c>
      <c r="G128" s="1" t="s">
        <v>8</v>
      </c>
    </row>
    <row r="129" spans="1:7" x14ac:dyDescent="0.2">
      <c r="A129" s="1" t="s">
        <v>259</v>
      </c>
      <c r="B129" s="1" t="s">
        <v>23</v>
      </c>
      <c r="C129" s="1" t="s">
        <v>31</v>
      </c>
      <c r="D129" s="1" t="s">
        <v>266</v>
      </c>
      <c r="E129" s="1" t="s">
        <v>7</v>
      </c>
      <c r="F129">
        <v>1</v>
      </c>
      <c r="G129" s="1" t="s">
        <v>8</v>
      </c>
    </row>
    <row r="130" spans="1:7" x14ac:dyDescent="0.2">
      <c r="A130" s="1" t="s">
        <v>259</v>
      </c>
      <c r="B130" s="1" t="s">
        <v>173</v>
      </c>
      <c r="C130" s="1" t="s">
        <v>17</v>
      </c>
      <c r="D130" s="1" t="s">
        <v>267</v>
      </c>
      <c r="E130" s="1" t="s">
        <v>7</v>
      </c>
      <c r="F130">
        <v>1</v>
      </c>
      <c r="G130" s="1" t="s">
        <v>8</v>
      </c>
    </row>
    <row r="131" spans="1:7" x14ac:dyDescent="0.2">
      <c r="A131" s="1" t="s">
        <v>259</v>
      </c>
      <c r="B131" s="1" t="s">
        <v>12</v>
      </c>
      <c r="C131" s="1" t="s">
        <v>220</v>
      </c>
      <c r="D131" s="1" t="s">
        <v>268</v>
      </c>
      <c r="E131" s="1" t="s">
        <v>7</v>
      </c>
      <c r="F131">
        <v>1</v>
      </c>
      <c r="G131" s="1" t="s">
        <v>8</v>
      </c>
    </row>
    <row r="132" spans="1:7" x14ac:dyDescent="0.2">
      <c r="A132" s="1" t="s">
        <v>269</v>
      </c>
      <c r="B132" s="1" t="s">
        <v>11</v>
      </c>
      <c r="C132" s="1" t="s">
        <v>39</v>
      </c>
      <c r="D132" s="1" t="s">
        <v>270</v>
      </c>
      <c r="E132" s="1" t="s">
        <v>7</v>
      </c>
      <c r="F132">
        <v>1.5</v>
      </c>
      <c r="G132" s="1" t="s">
        <v>8</v>
      </c>
    </row>
    <row r="133" spans="1:7" x14ac:dyDescent="0.2">
      <c r="A133" s="1" t="s">
        <v>269</v>
      </c>
      <c r="B133" s="1" t="s">
        <v>20</v>
      </c>
      <c r="C133" s="1" t="s">
        <v>36</v>
      </c>
      <c r="D133" s="1" t="s">
        <v>271</v>
      </c>
      <c r="E133" s="1" t="s">
        <v>7</v>
      </c>
      <c r="F133">
        <v>1</v>
      </c>
      <c r="G133" s="1" t="s">
        <v>8</v>
      </c>
    </row>
    <row r="134" spans="1:7" x14ac:dyDescent="0.2">
      <c r="A134" s="1" t="s">
        <v>269</v>
      </c>
      <c r="B134" s="1" t="s">
        <v>28</v>
      </c>
      <c r="C134" s="1" t="s">
        <v>15</v>
      </c>
      <c r="D134" s="1" t="s">
        <v>272</v>
      </c>
      <c r="E134" s="1" t="s">
        <v>7</v>
      </c>
      <c r="F134">
        <v>1.5</v>
      </c>
      <c r="G134" s="1" t="s">
        <v>8</v>
      </c>
    </row>
    <row r="135" spans="1:7" x14ac:dyDescent="0.2">
      <c r="A135" s="1" t="s">
        <v>269</v>
      </c>
      <c r="B135" s="1" t="s">
        <v>97</v>
      </c>
      <c r="C135" s="1" t="s">
        <v>44</v>
      </c>
      <c r="D135" s="1" t="s">
        <v>273</v>
      </c>
      <c r="E135" s="1" t="s">
        <v>7</v>
      </c>
      <c r="F135">
        <v>1</v>
      </c>
      <c r="G135" s="1" t="s">
        <v>8</v>
      </c>
    </row>
    <row r="136" spans="1:7" x14ac:dyDescent="0.2">
      <c r="A136" s="1" t="s">
        <v>269</v>
      </c>
      <c r="B136" s="1" t="s">
        <v>12</v>
      </c>
      <c r="C136" s="1" t="s">
        <v>220</v>
      </c>
      <c r="D136" s="1" t="s">
        <v>274</v>
      </c>
      <c r="E136" s="1" t="s">
        <v>7</v>
      </c>
      <c r="F136">
        <v>1.5</v>
      </c>
      <c r="G136" s="1" t="s">
        <v>8</v>
      </c>
    </row>
    <row r="137" spans="1:7" x14ac:dyDescent="0.2">
      <c r="A137" s="1" t="s">
        <v>269</v>
      </c>
      <c r="B137" s="1" t="s">
        <v>11</v>
      </c>
      <c r="C137" s="1" t="s">
        <v>142</v>
      </c>
      <c r="D137" s="1" t="s">
        <v>275</v>
      </c>
      <c r="E137" s="1" t="s">
        <v>7</v>
      </c>
      <c r="F137">
        <v>3.5</v>
      </c>
      <c r="G137" s="1" t="s">
        <v>8</v>
      </c>
    </row>
    <row r="138" spans="1:7" x14ac:dyDescent="0.2">
      <c r="A138" s="1" t="s">
        <v>269</v>
      </c>
      <c r="B138" s="1" t="s">
        <v>197</v>
      </c>
      <c r="C138" s="1" t="s">
        <v>217</v>
      </c>
      <c r="D138" s="1" t="s">
        <v>276</v>
      </c>
      <c r="E138" s="1" t="s">
        <v>7</v>
      </c>
      <c r="F138">
        <v>1</v>
      </c>
      <c r="G138" s="1" t="s">
        <v>8</v>
      </c>
    </row>
    <row r="139" spans="1:7" x14ac:dyDescent="0.2">
      <c r="A139" s="1" t="s">
        <v>269</v>
      </c>
      <c r="B139" s="1" t="s">
        <v>9</v>
      </c>
      <c r="C139" s="1" t="s">
        <v>67</v>
      </c>
      <c r="D139" s="1" t="s">
        <v>277</v>
      </c>
      <c r="E139" s="1" t="s">
        <v>7</v>
      </c>
      <c r="F139">
        <v>0.5</v>
      </c>
      <c r="G139" s="1" t="s">
        <v>8</v>
      </c>
    </row>
    <row r="140" spans="1:7" x14ac:dyDescent="0.2">
      <c r="A140" s="1" t="s">
        <v>278</v>
      </c>
      <c r="B140" s="1" t="s">
        <v>13</v>
      </c>
      <c r="C140" s="1" t="s">
        <v>235</v>
      </c>
      <c r="D140" s="1" t="s">
        <v>279</v>
      </c>
      <c r="E140" s="1" t="s">
        <v>7</v>
      </c>
      <c r="F140">
        <v>0.5</v>
      </c>
      <c r="G140" s="1" t="s">
        <v>8</v>
      </c>
    </row>
    <row r="141" spans="1:7" x14ac:dyDescent="0.2">
      <c r="A141" s="1" t="s">
        <v>278</v>
      </c>
      <c r="B141" s="1" t="s">
        <v>48</v>
      </c>
      <c r="C141" s="1" t="s">
        <v>224</v>
      </c>
      <c r="D141" s="1" t="s">
        <v>280</v>
      </c>
      <c r="E141" s="1" t="s">
        <v>7</v>
      </c>
      <c r="F141">
        <v>0.5</v>
      </c>
      <c r="G141" s="1" t="s">
        <v>8</v>
      </c>
    </row>
    <row r="142" spans="1:7" x14ac:dyDescent="0.2">
      <c r="A142" s="1" t="s">
        <v>278</v>
      </c>
      <c r="B142" s="1" t="s">
        <v>197</v>
      </c>
      <c r="C142" s="1" t="s">
        <v>281</v>
      </c>
      <c r="D142" s="1" t="s">
        <v>282</v>
      </c>
      <c r="E142" s="1" t="s">
        <v>7</v>
      </c>
      <c r="F142">
        <v>1.5</v>
      </c>
      <c r="G142" s="1" t="s">
        <v>8</v>
      </c>
    </row>
    <row r="143" spans="1:7" x14ac:dyDescent="0.2">
      <c r="A143" s="1" t="s">
        <v>278</v>
      </c>
      <c r="B143" s="1" t="s">
        <v>97</v>
      </c>
      <c r="C143" s="1" t="s">
        <v>255</v>
      </c>
      <c r="D143" s="1" t="s">
        <v>283</v>
      </c>
      <c r="E143" s="1" t="s">
        <v>7</v>
      </c>
      <c r="F143">
        <v>1.5</v>
      </c>
      <c r="G143" s="1" t="s">
        <v>8</v>
      </c>
    </row>
    <row r="144" spans="1:7" x14ac:dyDescent="0.2">
      <c r="A144" s="1" t="s">
        <v>278</v>
      </c>
      <c r="B144" s="1" t="s">
        <v>13</v>
      </c>
      <c r="C144" s="1" t="s">
        <v>284</v>
      </c>
      <c r="D144" s="1" t="s">
        <v>285</v>
      </c>
      <c r="E144" s="1" t="s">
        <v>7</v>
      </c>
      <c r="F144">
        <v>1.5</v>
      </c>
      <c r="G144" s="1" t="s">
        <v>8</v>
      </c>
    </row>
    <row r="145" spans="1:7" x14ac:dyDescent="0.2">
      <c r="A145" s="1" t="s">
        <v>278</v>
      </c>
      <c r="B145" s="1" t="s">
        <v>173</v>
      </c>
      <c r="C145" s="1" t="s">
        <v>17</v>
      </c>
      <c r="D145" s="1" t="s">
        <v>286</v>
      </c>
      <c r="E145" s="1" t="s">
        <v>7</v>
      </c>
      <c r="F145">
        <v>1</v>
      </c>
      <c r="G145" s="1" t="s">
        <v>8</v>
      </c>
    </row>
    <row r="146" spans="1:7" x14ac:dyDescent="0.2">
      <c r="A146" s="1" t="s">
        <v>278</v>
      </c>
      <c r="B146" s="1" t="s">
        <v>35</v>
      </c>
      <c r="C146" s="1" t="s">
        <v>287</v>
      </c>
      <c r="D146" s="1" t="s">
        <v>288</v>
      </c>
      <c r="E146" s="1" t="s">
        <v>7</v>
      </c>
      <c r="F146">
        <v>1</v>
      </c>
      <c r="G146" s="1" t="s">
        <v>8</v>
      </c>
    </row>
    <row r="147" spans="1:7" x14ac:dyDescent="0.2">
      <c r="A147" s="1" t="s">
        <v>289</v>
      </c>
      <c r="B147" s="1" t="s">
        <v>18</v>
      </c>
      <c r="C147" s="1" t="s">
        <v>290</v>
      </c>
      <c r="D147" s="1" t="s">
        <v>57</v>
      </c>
      <c r="E147" s="1" t="s">
        <v>7</v>
      </c>
      <c r="F147">
        <v>1.25</v>
      </c>
      <c r="G147" s="1" t="s">
        <v>8</v>
      </c>
    </row>
    <row r="148" spans="1:7" x14ac:dyDescent="0.2">
      <c r="A148" s="1" t="s">
        <v>289</v>
      </c>
      <c r="B148" s="1" t="s">
        <v>197</v>
      </c>
      <c r="C148" s="1" t="s">
        <v>281</v>
      </c>
      <c r="D148" s="1" t="s">
        <v>291</v>
      </c>
      <c r="E148" s="1" t="s">
        <v>7</v>
      </c>
      <c r="F148">
        <v>1.75</v>
      </c>
      <c r="G148" s="1" t="s">
        <v>8</v>
      </c>
    </row>
    <row r="149" spans="1:7" x14ac:dyDescent="0.2">
      <c r="A149" s="1" t="s">
        <v>289</v>
      </c>
      <c r="B149" s="1" t="s">
        <v>11</v>
      </c>
      <c r="C149" s="1" t="s">
        <v>142</v>
      </c>
      <c r="D149" s="1" t="s">
        <v>292</v>
      </c>
      <c r="E149" s="1" t="s">
        <v>7</v>
      </c>
      <c r="F149">
        <v>1.5</v>
      </c>
      <c r="G149" s="1" t="s">
        <v>8</v>
      </c>
    </row>
    <row r="150" spans="1:7" x14ac:dyDescent="0.2">
      <c r="A150" s="1" t="s">
        <v>289</v>
      </c>
      <c r="B150" s="1" t="s">
        <v>12</v>
      </c>
      <c r="C150" s="1" t="s">
        <v>52</v>
      </c>
      <c r="D150" s="1" t="s">
        <v>293</v>
      </c>
      <c r="E150" s="1" t="s">
        <v>7</v>
      </c>
      <c r="F150">
        <v>3.5</v>
      </c>
      <c r="G150" s="1" t="s">
        <v>8</v>
      </c>
    </row>
    <row r="151" spans="1:7" x14ac:dyDescent="0.2">
      <c r="A151" s="1" t="s">
        <v>289</v>
      </c>
      <c r="B151" s="1" t="s">
        <v>12</v>
      </c>
      <c r="C151" s="1" t="s">
        <v>207</v>
      </c>
      <c r="D151" s="1" t="s">
        <v>294</v>
      </c>
      <c r="E151" s="1" t="s">
        <v>7</v>
      </c>
      <c r="F151">
        <v>0.5</v>
      </c>
      <c r="G151" s="1" t="s">
        <v>8</v>
      </c>
    </row>
    <row r="152" spans="1:7" x14ac:dyDescent="0.2">
      <c r="A152" s="1" t="s">
        <v>289</v>
      </c>
      <c r="B152" s="1" t="s">
        <v>69</v>
      </c>
      <c r="C152" s="1" t="s">
        <v>70</v>
      </c>
      <c r="D152" s="1" t="s">
        <v>295</v>
      </c>
      <c r="E152" s="1" t="s">
        <v>7</v>
      </c>
      <c r="F152">
        <v>0.75</v>
      </c>
      <c r="G152" s="1" t="s">
        <v>8</v>
      </c>
    </row>
    <row r="153" spans="1:7" x14ac:dyDescent="0.2">
      <c r="A153" s="1" t="s">
        <v>289</v>
      </c>
      <c r="B153" s="1" t="s">
        <v>18</v>
      </c>
      <c r="C153" s="1" t="s">
        <v>290</v>
      </c>
      <c r="D153" s="1" t="s">
        <v>57</v>
      </c>
      <c r="E153" s="1" t="s">
        <v>7</v>
      </c>
      <c r="F153">
        <v>1.25</v>
      </c>
      <c r="G153" s="1" t="s">
        <v>8</v>
      </c>
    </row>
    <row r="154" spans="1:7" x14ac:dyDescent="0.2">
      <c r="A154" s="1" t="s">
        <v>289</v>
      </c>
      <c r="B154" s="1" t="s">
        <v>197</v>
      </c>
      <c r="C154" s="1" t="s">
        <v>281</v>
      </c>
      <c r="D154" s="1" t="s">
        <v>291</v>
      </c>
      <c r="E154" s="1" t="s">
        <v>7</v>
      </c>
      <c r="F154">
        <v>1.75</v>
      </c>
      <c r="G154" s="1" t="s">
        <v>8</v>
      </c>
    </row>
    <row r="155" spans="1:7" x14ac:dyDescent="0.2">
      <c r="A155" s="1" t="s">
        <v>289</v>
      </c>
      <c r="B155" s="1" t="s">
        <v>11</v>
      </c>
      <c r="C155" s="1" t="s">
        <v>142</v>
      </c>
      <c r="D155" s="1" t="s">
        <v>292</v>
      </c>
      <c r="E155" s="1" t="s">
        <v>7</v>
      </c>
      <c r="F155">
        <v>1.5</v>
      </c>
      <c r="G155" s="1" t="s">
        <v>8</v>
      </c>
    </row>
    <row r="156" spans="1:7" x14ac:dyDescent="0.2">
      <c r="A156" s="1" t="s">
        <v>289</v>
      </c>
      <c r="B156" s="1" t="s">
        <v>12</v>
      </c>
      <c r="C156" s="1" t="s">
        <v>52</v>
      </c>
      <c r="D156" s="1" t="s">
        <v>293</v>
      </c>
      <c r="E156" s="1" t="s">
        <v>7</v>
      </c>
      <c r="F156">
        <v>3.5</v>
      </c>
      <c r="G156" s="1" t="s">
        <v>8</v>
      </c>
    </row>
    <row r="157" spans="1:7" x14ac:dyDescent="0.2">
      <c r="A157" s="1" t="s">
        <v>289</v>
      </c>
      <c r="B157" s="1" t="s">
        <v>12</v>
      </c>
      <c r="C157" s="1" t="s">
        <v>207</v>
      </c>
      <c r="D157" s="1" t="s">
        <v>294</v>
      </c>
      <c r="E157" s="1" t="s">
        <v>7</v>
      </c>
      <c r="F157">
        <v>0.5</v>
      </c>
      <c r="G157" s="1" t="s">
        <v>8</v>
      </c>
    </row>
    <row r="158" spans="1:7" x14ac:dyDescent="0.2">
      <c r="A158" s="1" t="s">
        <v>289</v>
      </c>
      <c r="B158" s="1" t="s">
        <v>69</v>
      </c>
      <c r="C158" s="1" t="s">
        <v>70</v>
      </c>
      <c r="D158" s="1" t="s">
        <v>295</v>
      </c>
      <c r="E158" s="1" t="s">
        <v>7</v>
      </c>
      <c r="F158">
        <v>0.75</v>
      </c>
      <c r="G158" s="1" t="s">
        <v>8</v>
      </c>
    </row>
    <row r="159" spans="1:7" x14ac:dyDescent="0.2">
      <c r="A159" s="1" t="s">
        <v>296</v>
      </c>
      <c r="B159" s="1" t="s">
        <v>297</v>
      </c>
      <c r="C159" s="1" t="s">
        <v>298</v>
      </c>
      <c r="D159" s="1" t="s">
        <v>299</v>
      </c>
      <c r="E159" s="1" t="s">
        <v>7</v>
      </c>
      <c r="F159">
        <v>2</v>
      </c>
      <c r="G159" s="1" t="s">
        <v>8</v>
      </c>
    </row>
    <row r="160" spans="1:7" x14ac:dyDescent="0.2">
      <c r="A160" s="1" t="s">
        <v>296</v>
      </c>
      <c r="B160" s="1" t="s">
        <v>12</v>
      </c>
      <c r="C160" s="1" t="s">
        <v>50</v>
      </c>
      <c r="D160" s="1" t="s">
        <v>300</v>
      </c>
      <c r="E160" s="1" t="s">
        <v>7</v>
      </c>
      <c r="F160">
        <v>0.5</v>
      </c>
      <c r="G160" s="1" t="s">
        <v>8</v>
      </c>
    </row>
    <row r="161" spans="1:7" x14ac:dyDescent="0.2">
      <c r="A161" s="1" t="s">
        <v>296</v>
      </c>
      <c r="B161" s="1" t="s">
        <v>301</v>
      </c>
      <c r="C161" s="1" t="s">
        <v>56</v>
      </c>
      <c r="D161" s="1" t="s">
        <v>302</v>
      </c>
      <c r="E161" s="1" t="s">
        <v>7</v>
      </c>
      <c r="F161">
        <v>0.5</v>
      </c>
      <c r="G161" s="1" t="s">
        <v>8</v>
      </c>
    </row>
    <row r="162" spans="1:7" x14ac:dyDescent="0.2">
      <c r="A162" s="1" t="s">
        <v>296</v>
      </c>
      <c r="B162" s="1" t="s">
        <v>20</v>
      </c>
      <c r="C162" s="1" t="s">
        <v>36</v>
      </c>
      <c r="D162" s="1" t="s">
        <v>303</v>
      </c>
      <c r="E162" s="1" t="s">
        <v>7</v>
      </c>
      <c r="F162">
        <v>0.5</v>
      </c>
      <c r="G162" s="1" t="s">
        <v>8</v>
      </c>
    </row>
    <row r="163" spans="1:7" x14ac:dyDescent="0.2">
      <c r="A163" s="1" t="s">
        <v>296</v>
      </c>
      <c r="B163" s="1" t="s">
        <v>12</v>
      </c>
      <c r="C163" s="1" t="s">
        <v>52</v>
      </c>
      <c r="D163" s="1" t="s">
        <v>304</v>
      </c>
      <c r="E163" s="1" t="s">
        <v>7</v>
      </c>
      <c r="F163">
        <v>1.5</v>
      </c>
      <c r="G163" s="1" t="s">
        <v>8</v>
      </c>
    </row>
    <row r="164" spans="1:7" x14ac:dyDescent="0.2">
      <c r="A164" s="1" t="s">
        <v>296</v>
      </c>
      <c r="B164" s="1" t="s">
        <v>46</v>
      </c>
      <c r="C164" s="1" t="s">
        <v>58</v>
      </c>
      <c r="D164" s="1" t="s">
        <v>305</v>
      </c>
      <c r="E164" s="1" t="s">
        <v>7</v>
      </c>
      <c r="F164">
        <v>0.5</v>
      </c>
      <c r="G164" s="1" t="s">
        <v>8</v>
      </c>
    </row>
    <row r="165" spans="1:7" x14ac:dyDescent="0.2">
      <c r="A165" s="1" t="s">
        <v>296</v>
      </c>
      <c r="B165" s="1" t="s">
        <v>12</v>
      </c>
      <c r="C165" s="1" t="s">
        <v>207</v>
      </c>
      <c r="D165" s="1" t="s">
        <v>306</v>
      </c>
      <c r="E165" s="1" t="s">
        <v>7</v>
      </c>
      <c r="F165">
        <v>1</v>
      </c>
      <c r="G165" s="1" t="s">
        <v>8</v>
      </c>
    </row>
    <row r="166" spans="1:7" x14ac:dyDescent="0.2">
      <c r="A166" s="1" t="s">
        <v>307</v>
      </c>
      <c r="B166" s="1" t="s">
        <v>9</v>
      </c>
      <c r="C166" s="1" t="s">
        <v>308</v>
      </c>
      <c r="D166" s="1" t="s">
        <v>309</v>
      </c>
      <c r="E166" s="1" t="s">
        <v>7</v>
      </c>
      <c r="F166">
        <v>1.5</v>
      </c>
      <c r="G166" s="1" t="s">
        <v>8</v>
      </c>
    </row>
    <row r="167" spans="1:7" x14ac:dyDescent="0.2">
      <c r="A167" s="1" t="s">
        <v>307</v>
      </c>
      <c r="B167" s="1" t="s">
        <v>9</v>
      </c>
      <c r="C167" s="1" t="s">
        <v>310</v>
      </c>
      <c r="D167" s="1" t="s">
        <v>311</v>
      </c>
      <c r="E167" s="1" t="s">
        <v>7</v>
      </c>
      <c r="F167">
        <v>1.25</v>
      </c>
      <c r="G167" s="1" t="s">
        <v>8</v>
      </c>
    </row>
    <row r="168" spans="1:7" x14ac:dyDescent="0.2">
      <c r="A168" s="1" t="s">
        <v>307</v>
      </c>
      <c r="B168" s="1" t="s">
        <v>19</v>
      </c>
      <c r="C168" s="1" t="s">
        <v>47</v>
      </c>
      <c r="D168" s="1" t="s">
        <v>312</v>
      </c>
      <c r="E168" s="1" t="s">
        <v>7</v>
      </c>
      <c r="F168">
        <v>1.25</v>
      </c>
      <c r="G168" s="1" t="s">
        <v>8</v>
      </c>
    </row>
    <row r="169" spans="1:7" x14ac:dyDescent="0.2">
      <c r="A169" s="1" t="s">
        <v>307</v>
      </c>
      <c r="B169" s="1" t="s">
        <v>12</v>
      </c>
      <c r="C169" s="1" t="s">
        <v>52</v>
      </c>
      <c r="D169" s="1" t="s">
        <v>313</v>
      </c>
      <c r="E169" s="1" t="s">
        <v>7</v>
      </c>
      <c r="F169">
        <v>2</v>
      </c>
      <c r="G169" s="1" t="s">
        <v>8</v>
      </c>
    </row>
    <row r="170" spans="1:7" x14ac:dyDescent="0.2">
      <c r="A170" s="1" t="s">
        <v>307</v>
      </c>
      <c r="B170" s="1" t="s">
        <v>29</v>
      </c>
      <c r="C170" s="1" t="s">
        <v>314</v>
      </c>
      <c r="D170" s="1" t="s">
        <v>315</v>
      </c>
      <c r="E170" s="1" t="s">
        <v>7</v>
      </c>
      <c r="F170">
        <v>0.5</v>
      </c>
      <c r="G170" s="1" t="s">
        <v>8</v>
      </c>
    </row>
    <row r="171" spans="1:7" x14ac:dyDescent="0.2">
      <c r="A171" s="1" t="s">
        <v>307</v>
      </c>
      <c r="B171" s="1" t="s">
        <v>48</v>
      </c>
      <c r="C171" s="1" t="s">
        <v>316</v>
      </c>
      <c r="D171" s="1" t="s">
        <v>317</v>
      </c>
      <c r="E171" s="1" t="s">
        <v>7</v>
      </c>
      <c r="F171">
        <v>0.5</v>
      </c>
      <c r="G171" s="1" t="s">
        <v>8</v>
      </c>
    </row>
    <row r="172" spans="1:7" x14ac:dyDescent="0.2">
      <c r="A172" s="1" t="s">
        <v>307</v>
      </c>
      <c r="B172" s="1" t="s">
        <v>46</v>
      </c>
      <c r="C172" s="1" t="s">
        <v>24</v>
      </c>
      <c r="D172" s="1" t="s">
        <v>318</v>
      </c>
      <c r="E172" s="1" t="s">
        <v>6</v>
      </c>
      <c r="F172">
        <v>120</v>
      </c>
      <c r="G172" s="1" t="s">
        <v>8</v>
      </c>
    </row>
    <row r="173" spans="1:7" x14ac:dyDescent="0.2">
      <c r="A173" s="1" t="s">
        <v>307</v>
      </c>
      <c r="B173" s="1" t="s">
        <v>46</v>
      </c>
      <c r="C173" s="1" t="s">
        <v>24</v>
      </c>
      <c r="D173" s="1" t="s">
        <v>319</v>
      </c>
      <c r="E173" s="1" t="s">
        <v>7</v>
      </c>
      <c r="F173">
        <v>0.25</v>
      </c>
      <c r="G173" s="1" t="s">
        <v>8</v>
      </c>
    </row>
    <row r="174" spans="1:7" x14ac:dyDescent="0.2">
      <c r="A174" s="1" t="s">
        <v>307</v>
      </c>
      <c r="B174" s="1" t="s">
        <v>18</v>
      </c>
      <c r="C174" s="1" t="s">
        <v>290</v>
      </c>
      <c r="D174" s="1" t="s">
        <v>320</v>
      </c>
      <c r="E174" s="1" t="s">
        <v>7</v>
      </c>
      <c r="F174">
        <v>0.5</v>
      </c>
      <c r="G174" s="1" t="s">
        <v>8</v>
      </c>
    </row>
    <row r="175" spans="1:7" x14ac:dyDescent="0.2">
      <c r="A175" s="1" t="s">
        <v>307</v>
      </c>
      <c r="B175" s="1" t="s">
        <v>301</v>
      </c>
      <c r="C175" s="1" t="s">
        <v>321</v>
      </c>
      <c r="D175" s="1" t="s">
        <v>322</v>
      </c>
      <c r="E175" s="1" t="s">
        <v>7</v>
      </c>
      <c r="F175">
        <v>1</v>
      </c>
      <c r="G175" s="1" t="s">
        <v>8</v>
      </c>
    </row>
    <row r="176" spans="1:7" x14ac:dyDescent="0.2">
      <c r="A176" s="1" t="s">
        <v>307</v>
      </c>
      <c r="B176" s="1" t="s">
        <v>11</v>
      </c>
      <c r="C176" s="1" t="s">
        <v>142</v>
      </c>
      <c r="D176" s="1" t="s">
        <v>323</v>
      </c>
      <c r="E176" s="1" t="s">
        <v>7</v>
      </c>
      <c r="F176">
        <v>0.25</v>
      </c>
      <c r="G176" s="1" t="s">
        <v>8</v>
      </c>
    </row>
    <row r="177" spans="1:7" x14ac:dyDescent="0.2">
      <c r="A177" s="1" t="s">
        <v>307</v>
      </c>
      <c r="B177" s="1" t="s">
        <v>9</v>
      </c>
      <c r="C177" s="1" t="s">
        <v>67</v>
      </c>
      <c r="D177" s="1" t="s">
        <v>324</v>
      </c>
      <c r="E177" s="1" t="s">
        <v>7</v>
      </c>
      <c r="F177">
        <v>0.75</v>
      </c>
      <c r="G177" s="1" t="s">
        <v>8</v>
      </c>
    </row>
    <row r="178" spans="1:7" x14ac:dyDescent="0.2">
      <c r="A178" s="1" t="s">
        <v>307</v>
      </c>
      <c r="B178" s="1" t="s">
        <v>97</v>
      </c>
      <c r="C178" s="1" t="s">
        <v>44</v>
      </c>
      <c r="D178" s="1" t="s">
        <v>325</v>
      </c>
      <c r="E178" s="1" t="s">
        <v>7</v>
      </c>
      <c r="F178">
        <v>0.75</v>
      </c>
      <c r="G178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807C9-42B1-4CB1-8CAF-19BEE3113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output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עמרי קליין</dc:creator>
  <cp:lastModifiedBy>עמרי קליין</cp:lastModifiedBy>
  <dcterms:created xsi:type="dcterms:W3CDTF">2015-06-05T18:19:34Z</dcterms:created>
  <dcterms:modified xsi:type="dcterms:W3CDTF">2025-07-07T07:39:32Z</dcterms:modified>
</cp:coreProperties>
</file>